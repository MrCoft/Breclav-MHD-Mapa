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777\OneDrive - VUT\Jizdni rady\optimalizace_Navrat\"/>
    </mc:Choice>
  </mc:AlternateContent>
  <xr:revisionPtr revIDLastSave="12" documentId="8_{19C54A81-2160-48A7-B934-FA7CD5DE9138}" xr6:coauthVersionLast="36" xr6:coauthVersionMax="36" xr10:uidLastSave="{7A061116-0E26-4E82-97A1-4C144416BD3B}"/>
  <bookViews>
    <workbookView xWindow="0" yWindow="0" windowWidth="28800" windowHeight="12228" activeTab="8" xr2:uid="{F7E4021B-A8B3-4FD5-99FD-67C9A3C6D226}"/>
  </bookViews>
  <sheets>
    <sheet name="komentzář a km" sheetId="21" r:id="rId1"/>
    <sheet name="561 " sheetId="11" r:id="rId2"/>
    <sheet name="562 " sheetId="15" r:id="rId3"/>
    <sheet name="563" sheetId="19" r:id="rId4"/>
    <sheet name="565 " sheetId="14" r:id="rId5"/>
    <sheet name="566 " sheetId="17" r:id="rId6"/>
    <sheet name="567 " sheetId="18" r:id="rId7"/>
    <sheet name="568" sheetId="22" r:id="rId8"/>
    <sheet name="569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5" l="1"/>
  <c r="I10" i="15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F48" i="21" l="1"/>
  <c r="E48" i="21"/>
  <c r="F47" i="21"/>
  <c r="E47" i="21"/>
  <c r="F46" i="21"/>
  <c r="E46" i="21"/>
  <c r="F45" i="21"/>
  <c r="E45" i="21"/>
  <c r="F42" i="21"/>
  <c r="E42" i="21"/>
  <c r="F41" i="21"/>
  <c r="E41" i="21"/>
  <c r="F40" i="21"/>
  <c r="E40" i="21"/>
  <c r="D49" i="21" l="1"/>
  <c r="U45" i="22" l="1"/>
  <c r="H49" i="15"/>
  <c r="H51" i="15" s="1"/>
  <c r="H52" i="15" s="1"/>
  <c r="H53" i="15" s="1"/>
  <c r="E36" i="12" l="1"/>
  <c r="F36" i="12" s="1"/>
  <c r="G36" i="12" s="1"/>
  <c r="H36" i="12" s="1"/>
  <c r="I36" i="12" s="1"/>
  <c r="J36" i="12" s="1"/>
  <c r="K36" i="12" s="1"/>
  <c r="L36" i="12" s="1"/>
  <c r="M36" i="12" s="1"/>
  <c r="N36" i="12" s="1"/>
  <c r="O36" i="12" s="1"/>
  <c r="P36" i="12" s="1"/>
  <c r="Q36" i="12" s="1"/>
  <c r="R36" i="12" s="1"/>
  <c r="S36" i="12" s="1"/>
  <c r="T36" i="12" s="1"/>
  <c r="U36" i="12" s="1"/>
  <c r="V36" i="12" s="1"/>
  <c r="W36" i="12" s="1"/>
  <c r="X36" i="12" s="1"/>
  <c r="Y36" i="12" s="1"/>
  <c r="Z36" i="12" s="1"/>
  <c r="AA36" i="12" s="1"/>
  <c r="AB36" i="12" s="1"/>
  <c r="G4" i="12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E27" i="22"/>
  <c r="F27" i="22" s="1"/>
  <c r="G27" i="22" s="1"/>
  <c r="H27" i="22" s="1"/>
  <c r="I27" i="22" s="1"/>
  <c r="J27" i="22" s="1"/>
  <c r="K27" i="22" s="1"/>
  <c r="L27" i="22" s="1"/>
  <c r="M27" i="22" s="1"/>
  <c r="N27" i="22" s="1"/>
  <c r="O27" i="22" s="1"/>
  <c r="P27" i="22" s="1"/>
  <c r="Q27" i="22" s="1"/>
  <c r="R27" i="22" s="1"/>
  <c r="S27" i="22" s="1"/>
  <c r="T27" i="22" s="1"/>
  <c r="E3" i="22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E27" i="18"/>
  <c r="F27" i="18" s="1"/>
  <c r="G27" i="18" s="1"/>
  <c r="H27" i="18" s="1"/>
  <c r="I27" i="18" s="1"/>
  <c r="J27" i="18" s="1"/>
  <c r="K27" i="18" s="1"/>
  <c r="L27" i="18" s="1"/>
  <c r="M27" i="18" s="1"/>
  <c r="N27" i="18" s="1"/>
  <c r="O27" i="18" s="1"/>
  <c r="P27" i="18" s="1"/>
  <c r="Q27" i="18" s="1"/>
  <c r="R27" i="18" s="1"/>
  <c r="S27" i="18" s="1"/>
  <c r="T27" i="18" s="1"/>
  <c r="U27" i="18" s="1"/>
  <c r="V27" i="18" s="1"/>
  <c r="W27" i="18" s="1"/>
  <c r="X27" i="18" s="1"/>
  <c r="Y27" i="18" s="1"/>
  <c r="Z27" i="18" s="1"/>
  <c r="AA27" i="18" s="1"/>
  <c r="AB27" i="18" s="1"/>
  <c r="AC27" i="18" s="1"/>
  <c r="AD27" i="18" s="1"/>
  <c r="AE27" i="18" s="1"/>
  <c r="AF27" i="18" s="1"/>
  <c r="AG27" i="18" s="1"/>
  <c r="AH27" i="18" s="1"/>
  <c r="AI27" i="18" s="1"/>
  <c r="E4" i="18"/>
  <c r="F4" i="18" s="1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T4" i="18" s="1"/>
  <c r="U4" i="18" s="1"/>
  <c r="V4" i="18" s="1"/>
  <c r="W4" i="18" s="1"/>
  <c r="X4" i="18" s="1"/>
  <c r="Y4" i="18" s="1"/>
  <c r="Z4" i="18" s="1"/>
  <c r="AA4" i="18" s="1"/>
  <c r="AB4" i="18" s="1"/>
  <c r="AC4" i="18" s="1"/>
  <c r="AD4" i="18" s="1"/>
  <c r="AE4" i="18" s="1"/>
  <c r="AF4" i="18" s="1"/>
  <c r="AG4" i="18" s="1"/>
  <c r="AH4" i="18" s="1"/>
  <c r="AI4" i="18" s="1"/>
  <c r="AJ4" i="18" s="1"/>
  <c r="AK4" i="18" s="1"/>
  <c r="AL4" i="18" s="1"/>
  <c r="AM4" i="18" s="1"/>
  <c r="AN4" i="18" s="1"/>
  <c r="AO4" i="18" s="1"/>
  <c r="E36" i="17"/>
  <c r="F36" i="17" s="1"/>
  <c r="G36" i="17" s="1"/>
  <c r="H36" i="17" s="1"/>
  <c r="I36" i="17" s="1"/>
  <c r="J36" i="17" s="1"/>
  <c r="K36" i="17" s="1"/>
  <c r="L36" i="17" s="1"/>
  <c r="M36" i="17" s="1"/>
  <c r="N36" i="17" s="1"/>
  <c r="O36" i="17" s="1"/>
  <c r="P36" i="17" s="1"/>
  <c r="Q36" i="17" s="1"/>
  <c r="R36" i="17" s="1"/>
  <c r="S36" i="17" s="1"/>
  <c r="T36" i="17" s="1"/>
  <c r="U36" i="17" s="1"/>
  <c r="V36" i="17" s="1"/>
  <c r="W36" i="17" s="1"/>
  <c r="X36" i="17" s="1"/>
  <c r="Y36" i="17" s="1"/>
  <c r="Z36" i="17" s="1"/>
  <c r="AA36" i="17" s="1"/>
  <c r="E3" i="17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E44" i="14"/>
  <c r="F44" i="14" s="1"/>
  <c r="G44" i="14" s="1"/>
  <c r="H44" i="14" s="1"/>
  <c r="I44" i="14" s="1"/>
  <c r="J44" i="14" s="1"/>
  <c r="K44" i="14" s="1"/>
  <c r="L44" i="14" s="1"/>
  <c r="M44" i="14" s="1"/>
  <c r="N44" i="14" s="1"/>
  <c r="O44" i="14" s="1"/>
  <c r="P44" i="14" s="1"/>
  <c r="Q44" i="14" s="1"/>
  <c r="R44" i="14" s="1"/>
  <c r="S44" i="14" s="1"/>
  <c r="T44" i="14" s="1"/>
  <c r="U44" i="14" s="1"/>
  <c r="V44" i="14" s="1"/>
  <c r="F4" i="14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E24" i="19"/>
  <c r="F24" i="19" s="1"/>
  <c r="G24" i="19" s="1"/>
  <c r="H24" i="19" s="1"/>
  <c r="I24" i="19" s="1"/>
  <c r="J24" i="19" s="1"/>
  <c r="K24" i="19" s="1"/>
  <c r="L24" i="19" s="1"/>
  <c r="M24" i="19" s="1"/>
  <c r="N24" i="19" s="1"/>
  <c r="O24" i="19" s="1"/>
  <c r="P24" i="19" s="1"/>
  <c r="Q24" i="19" s="1"/>
  <c r="R24" i="19" s="1"/>
  <c r="S24" i="19" s="1"/>
  <c r="T24" i="19" s="1"/>
  <c r="U24" i="19" s="1"/>
  <c r="V24" i="19" s="1"/>
  <c r="W24" i="19" s="1"/>
  <c r="X24" i="19" s="1"/>
  <c r="Y24" i="19" s="1"/>
  <c r="Z24" i="19" s="1"/>
  <c r="AA24" i="19" s="1"/>
  <c r="AB24" i="19" s="1"/>
  <c r="AC24" i="19" s="1"/>
  <c r="AD24" i="19" s="1"/>
  <c r="AE24" i="19" s="1"/>
  <c r="AF24" i="19" s="1"/>
  <c r="AG24" i="19" s="1"/>
  <c r="AH24" i="19" s="1"/>
  <c r="E4" i="19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H4" i="19" s="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W63" i="14"/>
  <c r="F44" i="21" s="1"/>
  <c r="AI19" i="19"/>
  <c r="V30" i="17"/>
  <c r="V46" i="14" l="1"/>
  <c r="V50" i="14" s="1"/>
  <c r="V51" i="14" s="1"/>
  <c r="V52" i="14" s="1"/>
  <c r="V53" i="14" s="1"/>
  <c r="V54" i="14" s="1"/>
  <c r="V55" i="14" s="1"/>
  <c r="V56" i="14" s="1"/>
  <c r="I33" i="15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7" i="15" s="1"/>
  <c r="H33" i="15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7" i="15" s="1"/>
  <c r="H48" i="15" s="1"/>
  <c r="AE26" i="19"/>
  <c r="AE27" i="19" s="1"/>
  <c r="AE28" i="19" s="1"/>
  <c r="AE29" i="19" s="1"/>
  <c r="AE16" i="19"/>
  <c r="AE17" i="19" s="1"/>
  <c r="AE18" i="19" s="1"/>
  <c r="AC16" i="19"/>
  <c r="AC17" i="19" s="1"/>
  <c r="AC18" i="19" s="1"/>
  <c r="AB16" i="19"/>
  <c r="AB17" i="19" s="1"/>
  <c r="AB18" i="19" s="1"/>
  <c r="Z16" i="19"/>
  <c r="Z17" i="19" s="1"/>
  <c r="Z18" i="19" s="1"/>
  <c r="Y16" i="19"/>
  <c r="Y17" i="19" s="1"/>
  <c r="Y18" i="19" s="1"/>
  <c r="W16" i="19"/>
  <c r="W17" i="19" s="1"/>
  <c r="W18" i="19" s="1"/>
  <c r="V16" i="19"/>
  <c r="V17" i="19" s="1"/>
  <c r="V18" i="19" s="1"/>
  <c r="T16" i="19"/>
  <c r="T17" i="19" s="1"/>
  <c r="T18" i="19" s="1"/>
  <c r="L26" i="19"/>
  <c r="L27" i="19" s="1"/>
  <c r="L28" i="19" s="1"/>
  <c r="L29" i="19" s="1"/>
  <c r="AF26" i="19"/>
  <c r="AF27" i="19" s="1"/>
  <c r="AF30" i="19" s="1"/>
  <c r="AF31" i="19" s="1"/>
  <c r="AF32" i="19" s="1"/>
  <c r="AF33" i="19" s="1"/>
  <c r="AF34" i="19" s="1"/>
  <c r="AF35" i="19" s="1"/>
  <c r="AF36" i="19" s="1"/>
  <c r="AF37" i="19" s="1"/>
  <c r="AF38" i="19" s="1"/>
  <c r="AF39" i="19" s="1"/>
  <c r="AC26" i="19"/>
  <c r="AC27" i="19" s="1"/>
  <c r="AC28" i="19" s="1"/>
  <c r="AC29" i="19" s="1"/>
  <c r="AB26" i="19"/>
  <c r="AB27" i="19" s="1"/>
  <c r="AB28" i="19" s="1"/>
  <c r="AB29" i="19" s="1"/>
  <c r="Z26" i="19"/>
  <c r="Z27" i="19" s="1"/>
  <c r="Z28" i="19" s="1"/>
  <c r="Z29" i="19" s="1"/>
  <c r="Y26" i="19"/>
  <c r="Y27" i="19" s="1"/>
  <c r="Y28" i="19" s="1"/>
  <c r="Y29" i="19" s="1"/>
  <c r="W26" i="19"/>
  <c r="W27" i="19" s="1"/>
  <c r="W28" i="19" s="1"/>
  <c r="W29" i="19" s="1"/>
  <c r="V26" i="19"/>
  <c r="V27" i="19" s="1"/>
  <c r="V28" i="19" s="1"/>
  <c r="V29" i="19" s="1"/>
  <c r="T26" i="19"/>
  <c r="T27" i="19" s="1"/>
  <c r="T28" i="19" s="1"/>
  <c r="T29" i="19" s="1"/>
  <c r="E37" i="11"/>
  <c r="E38" i="11" s="1"/>
  <c r="E39" i="11" s="1"/>
  <c r="G37" i="11"/>
  <c r="G38" i="11" s="1"/>
  <c r="G39" i="11" s="1"/>
  <c r="I37" i="11"/>
  <c r="I38" i="11" s="1"/>
  <c r="I39" i="11" s="1"/>
  <c r="J37" i="11"/>
  <c r="J38" i="11" s="1"/>
  <c r="J39" i="11" s="1"/>
  <c r="K37" i="11"/>
  <c r="K38" i="11" s="1"/>
  <c r="K39" i="11" s="1"/>
  <c r="L37" i="11"/>
  <c r="L38" i="11" s="1"/>
  <c r="L39" i="11" s="1"/>
  <c r="M37" i="11"/>
  <c r="M38" i="11" s="1"/>
  <c r="M39" i="11" s="1"/>
  <c r="N37" i="11"/>
  <c r="N38" i="11" s="1"/>
  <c r="N39" i="11" s="1"/>
  <c r="O37" i="11"/>
  <c r="O38" i="11" s="1"/>
  <c r="O39" i="11" s="1"/>
  <c r="Q37" i="11"/>
  <c r="Q38" i="11" s="1"/>
  <c r="Q39" i="11" s="1"/>
  <c r="S37" i="11"/>
  <c r="S38" i="11" s="1"/>
  <c r="S39" i="11" s="1"/>
  <c r="U37" i="11"/>
  <c r="U38" i="11" s="1"/>
  <c r="U39" i="11" s="1"/>
  <c r="W37" i="11"/>
  <c r="W38" i="11" s="1"/>
  <c r="W39" i="11" s="1"/>
  <c r="Y37" i="11"/>
  <c r="Y38" i="11" s="1"/>
  <c r="Y39" i="11" s="1"/>
  <c r="Z37" i="11"/>
  <c r="Z38" i="11" s="1"/>
  <c r="Z39" i="11" s="1"/>
  <c r="AA37" i="11"/>
  <c r="AA38" i="11" s="1"/>
  <c r="AA39" i="11" s="1"/>
  <c r="AB37" i="11"/>
  <c r="AB38" i="11" s="1"/>
  <c r="AB39" i="11" s="1"/>
  <c r="U5" i="17" l="1"/>
  <c r="U6" i="17" s="1"/>
  <c r="U7" i="17" s="1"/>
  <c r="U8" i="17" s="1"/>
  <c r="U9" i="17" s="1"/>
  <c r="U10" i="17" s="1"/>
  <c r="U11" i="17" s="1"/>
  <c r="U18" i="17" s="1"/>
  <c r="H6" i="15"/>
  <c r="H7" i="15" s="1"/>
  <c r="AB27" i="11"/>
  <c r="AB28" i="11" s="1"/>
  <c r="AB29" i="11" s="1"/>
  <c r="AB30" i="11" s="1"/>
  <c r="AB31" i="11" s="1"/>
  <c r="AB32" i="11" s="1"/>
  <c r="AB33" i="11" s="1"/>
  <c r="AB34" i="11" s="1"/>
  <c r="AB35" i="11" s="1"/>
  <c r="AI29" i="18"/>
  <c r="AI30" i="18" s="1"/>
  <c r="AI31" i="18" s="1"/>
  <c r="AI32" i="18" s="1"/>
  <c r="AI33" i="18" s="1"/>
  <c r="AI34" i="18" s="1"/>
  <c r="AI35" i="18" s="1"/>
  <c r="F6" i="15"/>
  <c r="F7" i="15" s="1"/>
  <c r="D10" i="15"/>
  <c r="D11" i="15" s="1"/>
  <c r="D12" i="15" s="1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E10" i="15"/>
  <c r="E11" i="15" s="1"/>
  <c r="E12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D46" i="14"/>
  <c r="D50" i="14" s="1"/>
  <c r="D51" i="14" s="1"/>
  <c r="D52" i="14" s="1"/>
  <c r="D53" i="14" s="1"/>
  <c r="D54" i="14" s="1"/>
  <c r="D55" i="14" s="1"/>
  <c r="D56" i="14" s="1"/>
  <c r="W38" i="17" l="1"/>
  <c r="W39" i="17" s="1"/>
  <c r="W40" i="17" s="1"/>
  <c r="W41" i="17" s="1"/>
  <c r="W42" i="17" s="1"/>
  <c r="W43" i="17" s="1"/>
  <c r="W44" i="17" s="1"/>
  <c r="W45" i="17" s="1"/>
  <c r="AK10" i="18"/>
  <c r="AK11" i="18" s="1"/>
  <c r="AK12" i="18" s="1"/>
  <c r="AK13" i="18" s="1"/>
  <c r="AK14" i="18" s="1"/>
  <c r="AK15" i="18" s="1"/>
  <c r="AK19" i="18" s="1"/>
  <c r="U38" i="17"/>
  <c r="U39" i="17" s="1"/>
  <c r="U40" i="17" s="1"/>
  <c r="U41" i="17" s="1"/>
  <c r="S38" i="17"/>
  <c r="S39" i="17" s="1"/>
  <c r="S40" i="17" s="1"/>
  <c r="S41" i="17" s="1"/>
  <c r="Q38" i="17"/>
  <c r="Q39" i="17" s="1"/>
  <c r="Q40" i="17" s="1"/>
  <c r="Q41" i="17" s="1"/>
  <c r="G38" i="17"/>
  <c r="G39" i="17" s="1"/>
  <c r="G40" i="17" s="1"/>
  <c r="G41" i="17" s="1"/>
  <c r="E38" i="17"/>
  <c r="E39" i="17" s="1"/>
  <c r="E40" i="17" s="1"/>
  <c r="E41" i="17" s="1"/>
  <c r="L16" i="19"/>
  <c r="L17" i="19" s="1"/>
  <c r="L18" i="19" s="1"/>
  <c r="J16" i="19"/>
  <c r="J17" i="19" s="1"/>
  <c r="J18" i="19" s="1"/>
  <c r="I16" i="19"/>
  <c r="I17" i="19" s="1"/>
  <c r="I18" i="19" s="1"/>
  <c r="G16" i="19"/>
  <c r="G17" i="19" s="1"/>
  <c r="G18" i="19" s="1"/>
  <c r="K6" i="19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M6" i="19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N6" i="19"/>
  <c r="N7" i="19" s="1"/>
  <c r="N8" i="19" s="1"/>
  <c r="N9" i="19" s="1"/>
  <c r="N10" i="19" s="1"/>
  <c r="N11" i="19" s="1"/>
  <c r="N12" i="19" s="1"/>
  <c r="N13" i="19" s="1"/>
  <c r="N14" i="19" s="1"/>
  <c r="N15" i="19" s="1"/>
  <c r="N16" i="19" s="1"/>
  <c r="N17" i="19" s="1"/>
  <c r="N18" i="19" s="1"/>
  <c r="F16" i="19"/>
  <c r="F17" i="19" s="1"/>
  <c r="F18" i="19" s="1"/>
  <c r="D16" i="19"/>
  <c r="D17" i="19" s="1"/>
  <c r="D18" i="19" s="1"/>
  <c r="M26" i="19"/>
  <c r="M27" i="19" s="1"/>
  <c r="M30" i="19" s="1"/>
  <c r="M31" i="19" s="1"/>
  <c r="M32" i="19" s="1"/>
  <c r="M33" i="19" s="1"/>
  <c r="M34" i="19" s="1"/>
  <c r="M35" i="19" s="1"/>
  <c r="M36" i="19" s="1"/>
  <c r="M37" i="19" s="1"/>
  <c r="M38" i="19" s="1"/>
  <c r="M39" i="19" s="1"/>
  <c r="J26" i="19"/>
  <c r="J27" i="19" s="1"/>
  <c r="J28" i="19" s="1"/>
  <c r="J29" i="19" s="1"/>
  <c r="I26" i="19"/>
  <c r="I27" i="19" s="1"/>
  <c r="I28" i="19" s="1"/>
  <c r="I29" i="19" s="1"/>
  <c r="G26" i="19"/>
  <c r="G27" i="19" s="1"/>
  <c r="G28" i="19" s="1"/>
  <c r="G29" i="19" s="1"/>
  <c r="F26" i="19"/>
  <c r="F27" i="19" s="1"/>
  <c r="F28" i="19" s="1"/>
  <c r="F29" i="19" s="1"/>
  <c r="D26" i="19"/>
  <c r="D27" i="19" s="1"/>
  <c r="D28" i="19" s="1"/>
  <c r="D29" i="19" s="1"/>
  <c r="X27" i="11"/>
  <c r="X28" i="11" s="1"/>
  <c r="X29" i="11" s="1"/>
  <c r="X30" i="11" s="1"/>
  <c r="X31" i="11" s="1"/>
  <c r="X32" i="11" s="1"/>
  <c r="X33" i="11" s="1"/>
  <c r="X34" i="11" s="1"/>
  <c r="X35" i="11" s="1"/>
  <c r="X36" i="11" s="1"/>
  <c r="X37" i="11" s="1"/>
  <c r="X38" i="11" s="1"/>
  <c r="X39" i="11" s="1"/>
  <c r="Y6" i="11"/>
  <c r="Y7" i="11" s="1"/>
  <c r="Y8" i="11" s="1"/>
  <c r="Y10" i="11"/>
  <c r="Y11" i="11" s="1"/>
  <c r="Y12" i="11" s="1"/>
  <c r="Y13" i="11" s="1"/>
  <c r="Y14" i="11" s="1"/>
  <c r="Y15" i="11" s="1"/>
  <c r="Y16" i="11" s="1"/>
  <c r="Y17" i="11" s="1"/>
  <c r="Y18" i="11" s="1"/>
  <c r="Y52" i="12"/>
  <c r="Y53" i="12" s="1"/>
  <c r="Y54" i="12" s="1"/>
  <c r="Y55" i="12" s="1"/>
  <c r="Y56" i="12" s="1"/>
  <c r="Y57" i="12" s="1"/>
  <c r="Y58" i="12" s="1"/>
  <c r="Y59" i="12" s="1"/>
  <c r="Y60" i="12" s="1"/>
  <c r="Y61" i="12" s="1"/>
  <c r="Y62" i="12" s="1"/>
  <c r="Y48" i="12"/>
  <c r="Y49" i="12" s="1"/>
  <c r="Y50" i="12" s="1"/>
  <c r="W52" i="12"/>
  <c r="W53" i="12" s="1"/>
  <c r="W54" i="12" s="1"/>
  <c r="W55" i="12" s="1"/>
  <c r="W56" i="12" s="1"/>
  <c r="W57" i="12" s="1"/>
  <c r="W58" i="12" s="1"/>
  <c r="W59" i="12" s="1"/>
  <c r="W60" i="12" s="1"/>
  <c r="W61" i="12" s="1"/>
  <c r="W62" i="12" s="1"/>
  <c r="W48" i="12"/>
  <c r="W49" i="12" s="1"/>
  <c r="W50" i="12" s="1"/>
  <c r="W6" i="11"/>
  <c r="W7" i="11" s="1"/>
  <c r="W8" i="11" s="1"/>
  <c r="W10" i="11"/>
  <c r="W11" i="11" s="1"/>
  <c r="W12" i="11" s="1"/>
  <c r="W13" i="11" s="1"/>
  <c r="W14" i="11" s="1"/>
  <c r="W15" i="11" s="1"/>
  <c r="W16" i="11" s="1"/>
  <c r="W17" i="11" s="1"/>
  <c r="W18" i="11" s="1"/>
  <c r="U6" i="11"/>
  <c r="U7" i="11" s="1"/>
  <c r="U8" i="11" s="1"/>
  <c r="U10" i="11"/>
  <c r="U11" i="11" s="1"/>
  <c r="U12" i="11" s="1"/>
  <c r="U13" i="11" s="1"/>
  <c r="U14" i="11" s="1"/>
  <c r="U15" i="11" s="1"/>
  <c r="U16" i="11" s="1"/>
  <c r="U17" i="11" s="1"/>
  <c r="U18" i="11" s="1"/>
  <c r="S6" i="11"/>
  <c r="S7" i="11" s="1"/>
  <c r="S8" i="11" s="1"/>
  <c r="S10" i="11"/>
  <c r="S11" i="11" s="1"/>
  <c r="S12" i="11" s="1"/>
  <c r="S13" i="11" s="1"/>
  <c r="S14" i="11" s="1"/>
  <c r="S15" i="11" s="1"/>
  <c r="S16" i="11" s="1"/>
  <c r="S17" i="11" s="1"/>
  <c r="S18" i="11" s="1"/>
  <c r="Q6" i="11"/>
  <c r="Q7" i="11" s="1"/>
  <c r="Q8" i="11" s="1"/>
  <c r="Q10" i="11"/>
  <c r="Q11" i="11" s="1"/>
  <c r="Q12" i="11" s="1"/>
  <c r="Q13" i="11" s="1"/>
  <c r="Q14" i="11" s="1"/>
  <c r="Q15" i="11" s="1"/>
  <c r="Q16" i="11" s="1"/>
  <c r="Q17" i="11" s="1"/>
  <c r="Q18" i="11" s="1"/>
  <c r="Q6" i="12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O6" i="12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K6" i="12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I6" i="12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Q52" i="12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48" i="12"/>
  <c r="Q49" i="12" s="1"/>
  <c r="Q50" i="12" s="1"/>
  <c r="O52" i="12"/>
  <c r="O53" i="12" s="1"/>
  <c r="O54" i="12" s="1"/>
  <c r="O55" i="12" s="1"/>
  <c r="O56" i="12" s="1"/>
  <c r="O57" i="12" s="1"/>
  <c r="O58" i="12" s="1"/>
  <c r="O59" i="12" s="1"/>
  <c r="O60" i="12" s="1"/>
  <c r="O61" i="12" s="1"/>
  <c r="O62" i="12" s="1"/>
  <c r="O48" i="12"/>
  <c r="O49" i="12" s="1"/>
  <c r="O50" i="12" s="1"/>
  <c r="M52" i="12"/>
  <c r="M53" i="12" s="1"/>
  <c r="M54" i="12" s="1"/>
  <c r="M55" i="12" s="1"/>
  <c r="M56" i="12" s="1"/>
  <c r="M57" i="12" s="1"/>
  <c r="M58" i="12" s="1"/>
  <c r="M59" i="12" s="1"/>
  <c r="M60" i="12" s="1"/>
  <c r="M61" i="12" s="1"/>
  <c r="M62" i="12" s="1"/>
  <c r="M48" i="12"/>
  <c r="M49" i="12" s="1"/>
  <c r="M50" i="12" s="1"/>
  <c r="K52" i="12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48" i="12"/>
  <c r="K49" i="12" s="1"/>
  <c r="K50" i="12" s="1"/>
  <c r="I52" i="12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48" i="12"/>
  <c r="I49" i="12" s="1"/>
  <c r="I50" i="12" s="1"/>
  <c r="G52" i="12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48" i="12"/>
  <c r="G49" i="12" s="1"/>
  <c r="G50" i="12" s="1"/>
  <c r="I10" i="11"/>
  <c r="I11" i="11" s="1"/>
  <c r="I12" i="11" s="1"/>
  <c r="I13" i="11" s="1"/>
  <c r="I14" i="11" s="1"/>
  <c r="I15" i="11" s="1"/>
  <c r="I16" i="11" s="1"/>
  <c r="I17" i="11" s="1"/>
  <c r="I18" i="11" s="1"/>
  <c r="G10" i="11"/>
  <c r="G11" i="11" s="1"/>
  <c r="G12" i="11" s="1"/>
  <c r="G13" i="11" s="1"/>
  <c r="G14" i="11" s="1"/>
  <c r="G15" i="11" s="1"/>
  <c r="G16" i="11" s="1"/>
  <c r="G17" i="11" s="1"/>
  <c r="G18" i="11" s="1"/>
  <c r="E6" i="11"/>
  <c r="E7" i="11" s="1"/>
  <c r="E8" i="11" s="1"/>
  <c r="G6" i="11"/>
  <c r="G7" i="11" s="1"/>
  <c r="G8" i="11" s="1"/>
  <c r="I6" i="11"/>
  <c r="I7" i="11" s="1"/>
  <c r="I8" i="11" s="1"/>
  <c r="D10" i="11"/>
  <c r="E10" i="11"/>
  <c r="E11" i="11" s="1"/>
  <c r="E12" i="11" s="1"/>
  <c r="E13" i="11" s="1"/>
  <c r="E14" i="11" s="1"/>
  <c r="E15" i="11" s="1"/>
  <c r="E16" i="11" s="1"/>
  <c r="E17" i="11" s="1"/>
  <c r="E18" i="11" s="1"/>
  <c r="G42" i="17" l="1"/>
  <c r="G43" i="17" s="1"/>
  <c r="G44" i="17" s="1"/>
  <c r="G45" i="17" s="1"/>
  <c r="U42" i="17"/>
  <c r="U43" i="17" s="1"/>
  <c r="U44" i="17" s="1"/>
  <c r="U45" i="17" s="1"/>
  <c r="E42" i="17"/>
  <c r="E43" i="17" s="1"/>
  <c r="E44" i="17" s="1"/>
  <c r="E45" i="17" s="1"/>
  <c r="Q42" i="17"/>
  <c r="Q43" i="17" s="1"/>
  <c r="Q44" i="17" s="1"/>
  <c r="Q45" i="17" s="1"/>
  <c r="S42" i="17"/>
  <c r="S43" i="17" s="1"/>
  <c r="S44" i="17" s="1"/>
  <c r="S45" i="17" s="1"/>
  <c r="I27" i="11"/>
  <c r="I28" i="11" s="1"/>
  <c r="I29" i="11" s="1"/>
  <c r="I30" i="11" s="1"/>
  <c r="I31" i="11" s="1"/>
  <c r="I32" i="11" s="1"/>
  <c r="I33" i="11" s="1"/>
  <c r="I34" i="11" s="1"/>
  <c r="I35" i="11" s="1"/>
  <c r="G27" i="11"/>
  <c r="G28" i="11" s="1"/>
  <c r="G29" i="11" s="1"/>
  <c r="G30" i="11" s="1"/>
  <c r="G31" i="11" s="1"/>
  <c r="G32" i="11" s="1"/>
  <c r="G33" i="11" s="1"/>
  <c r="G34" i="11" s="1"/>
  <c r="G35" i="11" s="1"/>
  <c r="E27" i="11"/>
  <c r="E28" i="11" s="1"/>
  <c r="E29" i="11" s="1"/>
  <c r="E30" i="11" s="1"/>
  <c r="E31" i="11" s="1"/>
  <c r="E32" i="11" s="1"/>
  <c r="E33" i="11" s="1"/>
  <c r="E34" i="11" s="1"/>
  <c r="E35" i="11" s="1"/>
  <c r="I38" i="17"/>
  <c r="H26" i="19"/>
  <c r="H27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K26" i="19"/>
  <c r="K27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N26" i="19"/>
  <c r="N27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O26" i="19"/>
  <c r="O27" i="19" s="1"/>
  <c r="O30" i="19" s="1"/>
  <c r="O31" i="19" s="1"/>
  <c r="O32" i="19" s="1"/>
  <c r="O33" i="19" s="1"/>
  <c r="O34" i="19" s="1"/>
  <c r="O35" i="19" s="1"/>
  <c r="O36" i="19" s="1"/>
  <c r="O37" i="19" s="1"/>
  <c r="O38" i="19" s="1"/>
  <c r="O39" i="19" s="1"/>
  <c r="U26" i="19"/>
  <c r="U27" i="19" s="1"/>
  <c r="U30" i="19" s="1"/>
  <c r="U31" i="19" s="1"/>
  <c r="U32" i="19" s="1"/>
  <c r="U33" i="19" s="1"/>
  <c r="U34" i="19" s="1"/>
  <c r="U35" i="19" s="1"/>
  <c r="U36" i="19" s="1"/>
  <c r="U37" i="19" s="1"/>
  <c r="U38" i="19" s="1"/>
  <c r="U39" i="19" s="1"/>
  <c r="X26" i="19"/>
  <c r="X27" i="19" s="1"/>
  <c r="X30" i="19" s="1"/>
  <c r="X31" i="19" s="1"/>
  <c r="X32" i="19" s="1"/>
  <c r="X33" i="19" s="1"/>
  <c r="X34" i="19" s="1"/>
  <c r="X35" i="19" s="1"/>
  <c r="X36" i="19" s="1"/>
  <c r="X37" i="19" s="1"/>
  <c r="X38" i="19" s="1"/>
  <c r="X39" i="19" s="1"/>
  <c r="AA26" i="19"/>
  <c r="AA27" i="19" s="1"/>
  <c r="AA30" i="19" s="1"/>
  <c r="AA31" i="19" s="1"/>
  <c r="AA32" i="19" s="1"/>
  <c r="AA33" i="19" s="1"/>
  <c r="AA34" i="19" s="1"/>
  <c r="AA35" i="19" s="1"/>
  <c r="AA36" i="19" s="1"/>
  <c r="AA37" i="19" s="1"/>
  <c r="AA38" i="19" s="1"/>
  <c r="AA39" i="19" s="1"/>
  <c r="AD26" i="19"/>
  <c r="AD27" i="19" s="1"/>
  <c r="AD30" i="19" s="1"/>
  <c r="AD31" i="19" s="1"/>
  <c r="AD32" i="19" s="1"/>
  <c r="AD33" i="19" s="1"/>
  <c r="AD34" i="19" s="1"/>
  <c r="AD35" i="19" s="1"/>
  <c r="AD36" i="19" s="1"/>
  <c r="AD37" i="19" s="1"/>
  <c r="AD38" i="19" s="1"/>
  <c r="AD39" i="19" s="1"/>
  <c r="AG26" i="19"/>
  <c r="AG27" i="19" s="1"/>
  <c r="AG30" i="19" s="1"/>
  <c r="AG31" i="19" s="1"/>
  <c r="AG32" i="19" s="1"/>
  <c r="AG33" i="19" s="1"/>
  <c r="AG34" i="19" s="1"/>
  <c r="AG35" i="19" s="1"/>
  <c r="AG36" i="19" s="1"/>
  <c r="AG37" i="19" s="1"/>
  <c r="AG38" i="19" s="1"/>
  <c r="AG39" i="19" s="1"/>
  <c r="AH26" i="19"/>
  <c r="AH27" i="19" s="1"/>
  <c r="AH30" i="19" s="1"/>
  <c r="AH31" i="19" s="1"/>
  <c r="AH32" i="19" s="1"/>
  <c r="AH33" i="19" s="1"/>
  <c r="AH34" i="19" s="1"/>
  <c r="AH35" i="19" s="1"/>
  <c r="AH36" i="19" s="1"/>
  <c r="AH37" i="19" s="1"/>
  <c r="AH38" i="19" s="1"/>
  <c r="AH39" i="19" s="1"/>
  <c r="H6" i="19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O6" i="19"/>
  <c r="O7" i="19" s="1"/>
  <c r="O8" i="19" s="1"/>
  <c r="O9" i="19" s="1"/>
  <c r="O10" i="19" s="1"/>
  <c r="O11" i="19" s="1"/>
  <c r="O12" i="19" s="1"/>
  <c r="O13" i="19" s="1"/>
  <c r="O14" i="19" s="1"/>
  <c r="O15" i="19" s="1"/>
  <c r="O16" i="19" s="1"/>
  <c r="O17" i="19" s="1"/>
  <c r="O18" i="19" s="1"/>
  <c r="P6" i="19"/>
  <c r="P7" i="19" s="1"/>
  <c r="P8" i="19" s="1"/>
  <c r="P9" i="19" s="1"/>
  <c r="P10" i="19" s="1"/>
  <c r="P11" i="19" s="1"/>
  <c r="P12" i="19" s="1"/>
  <c r="P13" i="19" s="1"/>
  <c r="P14" i="19" s="1"/>
  <c r="P15" i="19" s="1"/>
  <c r="P16" i="19" s="1"/>
  <c r="P17" i="19" s="1"/>
  <c r="P18" i="19" s="1"/>
  <c r="Q6" i="19"/>
  <c r="Q7" i="19" s="1"/>
  <c r="Q8" i="19" s="1"/>
  <c r="Q9" i="19" s="1"/>
  <c r="Q10" i="19" s="1"/>
  <c r="Q11" i="19" s="1"/>
  <c r="Q12" i="19" s="1"/>
  <c r="Q13" i="19" s="1"/>
  <c r="Q14" i="19" s="1"/>
  <c r="Q15" i="19" s="1"/>
  <c r="Q16" i="19" s="1"/>
  <c r="Q17" i="19" s="1"/>
  <c r="Q18" i="19" s="1"/>
  <c r="R6" i="19"/>
  <c r="R7" i="19" s="1"/>
  <c r="R8" i="19" s="1"/>
  <c r="R9" i="19" s="1"/>
  <c r="R10" i="19" s="1"/>
  <c r="R11" i="19" s="1"/>
  <c r="R12" i="19" s="1"/>
  <c r="R13" i="19" s="1"/>
  <c r="R14" i="19" s="1"/>
  <c r="R15" i="19" s="1"/>
  <c r="R16" i="19" s="1"/>
  <c r="R17" i="19" s="1"/>
  <c r="R18" i="19" s="1"/>
  <c r="U6" i="19"/>
  <c r="U7" i="19" s="1"/>
  <c r="U8" i="19" s="1"/>
  <c r="U9" i="19" s="1"/>
  <c r="U10" i="19" s="1"/>
  <c r="U11" i="19" s="1"/>
  <c r="U12" i="19" s="1"/>
  <c r="U13" i="19" s="1"/>
  <c r="U14" i="19" s="1"/>
  <c r="U15" i="19" s="1"/>
  <c r="U16" i="19" s="1"/>
  <c r="U17" i="19" s="1"/>
  <c r="U18" i="19" s="1"/>
  <c r="X6" i="19"/>
  <c r="X7" i="19" s="1"/>
  <c r="X8" i="19" s="1"/>
  <c r="X9" i="19" s="1"/>
  <c r="X10" i="19" s="1"/>
  <c r="X11" i="19" s="1"/>
  <c r="X12" i="19" s="1"/>
  <c r="X13" i="19" s="1"/>
  <c r="X14" i="19" s="1"/>
  <c r="X15" i="19" s="1"/>
  <c r="X16" i="19" s="1"/>
  <c r="X17" i="19" s="1"/>
  <c r="X18" i="19" s="1"/>
  <c r="AA6" i="19"/>
  <c r="AA7" i="19" s="1"/>
  <c r="AA8" i="19" s="1"/>
  <c r="AA9" i="19" s="1"/>
  <c r="AA10" i="19" s="1"/>
  <c r="AA11" i="19" s="1"/>
  <c r="AA12" i="19" s="1"/>
  <c r="AA13" i="19" s="1"/>
  <c r="AA14" i="19" s="1"/>
  <c r="AA15" i="19" s="1"/>
  <c r="AA16" i="19" s="1"/>
  <c r="AA17" i="19" s="1"/>
  <c r="AA18" i="19" s="1"/>
  <c r="AD6" i="19"/>
  <c r="AD7" i="19" s="1"/>
  <c r="AD8" i="19" s="1"/>
  <c r="AD9" i="19" s="1"/>
  <c r="AD10" i="19" s="1"/>
  <c r="AD11" i="19" s="1"/>
  <c r="AD12" i="19" s="1"/>
  <c r="AD13" i="19" s="1"/>
  <c r="AD14" i="19" s="1"/>
  <c r="AD15" i="19" s="1"/>
  <c r="AD16" i="19" s="1"/>
  <c r="AD17" i="19" s="1"/>
  <c r="AD18" i="19" s="1"/>
  <c r="AG6" i="19"/>
  <c r="AG7" i="19" s="1"/>
  <c r="AG8" i="19" s="1"/>
  <c r="AG9" i="19" s="1"/>
  <c r="AG10" i="19" s="1"/>
  <c r="AG11" i="19" s="1"/>
  <c r="AG12" i="19" s="1"/>
  <c r="AG13" i="19" s="1"/>
  <c r="AG14" i="19" s="1"/>
  <c r="AG15" i="19" s="1"/>
  <c r="AG16" i="19" s="1"/>
  <c r="AG17" i="19" s="1"/>
  <c r="AG18" i="19" s="1"/>
  <c r="AH6" i="19"/>
  <c r="AH7" i="19" s="1"/>
  <c r="AH8" i="19" s="1"/>
  <c r="AH9" i="19" s="1"/>
  <c r="AH10" i="19" s="1"/>
  <c r="AH11" i="19" s="1"/>
  <c r="AH12" i="19" s="1"/>
  <c r="AH13" i="19" s="1"/>
  <c r="AH14" i="19" s="1"/>
  <c r="AH15" i="19" s="1"/>
  <c r="AH16" i="19" s="1"/>
  <c r="AH17" i="19" s="1"/>
  <c r="AH18" i="19" s="1"/>
  <c r="F38" i="17"/>
  <c r="H38" i="17"/>
  <c r="H39" i="17" s="1"/>
  <c r="H40" i="17" s="1"/>
  <c r="H41" i="17" s="1"/>
  <c r="J38" i="17"/>
  <c r="K38" i="17"/>
  <c r="L38" i="17"/>
  <c r="M38" i="17"/>
  <c r="N38" i="17"/>
  <c r="N39" i="17" s="1"/>
  <c r="N40" i="17" s="1"/>
  <c r="N41" i="17" s="1"/>
  <c r="N42" i="17" s="1"/>
  <c r="N43" i="17" s="1"/>
  <c r="N44" i="17" s="1"/>
  <c r="N45" i="17" s="1"/>
  <c r="O38" i="17"/>
  <c r="P38" i="17"/>
  <c r="R38" i="17"/>
  <c r="T38" i="17"/>
  <c r="V38" i="17"/>
  <c r="X38" i="17"/>
  <c r="H42" i="17"/>
  <c r="H43" i="17" s="1"/>
  <c r="H44" i="17" s="1"/>
  <c r="H45" i="17" s="1"/>
  <c r="F52" i="17"/>
  <c r="F53" i="17" s="1"/>
  <c r="F54" i="17" s="1"/>
  <c r="F55" i="17" s="1"/>
  <c r="F56" i="17" s="1"/>
  <c r="F57" i="17" s="1"/>
  <c r="F58" i="17" s="1"/>
  <c r="H52" i="17"/>
  <c r="H53" i="17" s="1"/>
  <c r="H54" i="17" s="1"/>
  <c r="H55" i="17" s="1"/>
  <c r="H56" i="17" s="1"/>
  <c r="H57" i="17" s="1"/>
  <c r="H58" i="17" s="1"/>
  <c r="J52" i="17"/>
  <c r="J53" i="17" s="1"/>
  <c r="J54" i="17" s="1"/>
  <c r="J55" i="17" s="1"/>
  <c r="J56" i="17" s="1"/>
  <c r="J57" i="17" s="1"/>
  <c r="J58" i="17" s="1"/>
  <c r="K52" i="17"/>
  <c r="K53" i="17" s="1"/>
  <c r="K54" i="17" s="1"/>
  <c r="K55" i="17" s="1"/>
  <c r="K56" i="17" s="1"/>
  <c r="K57" i="17" s="1"/>
  <c r="K58" i="17" s="1"/>
  <c r="L52" i="17"/>
  <c r="L53" i="17" s="1"/>
  <c r="L54" i="17" s="1"/>
  <c r="L55" i="17" s="1"/>
  <c r="L56" i="17" s="1"/>
  <c r="L57" i="17" s="1"/>
  <c r="L58" i="17" s="1"/>
  <c r="M52" i="17"/>
  <c r="M53" i="17" s="1"/>
  <c r="M54" i="17" s="1"/>
  <c r="M55" i="17" s="1"/>
  <c r="M56" i="17" s="1"/>
  <c r="M57" i="17" s="1"/>
  <c r="M58" i="17" s="1"/>
  <c r="N52" i="17"/>
  <c r="N53" i="17" s="1"/>
  <c r="N54" i="17" s="1"/>
  <c r="N55" i="17" s="1"/>
  <c r="N56" i="17" s="1"/>
  <c r="N57" i="17" s="1"/>
  <c r="N58" i="17" s="1"/>
  <c r="O52" i="17"/>
  <c r="O53" i="17" s="1"/>
  <c r="O54" i="17" s="1"/>
  <c r="O55" i="17" s="1"/>
  <c r="O56" i="17" s="1"/>
  <c r="O57" i="17" s="1"/>
  <c r="O58" i="17" s="1"/>
  <c r="P52" i="17"/>
  <c r="P53" i="17" s="1"/>
  <c r="P54" i="17" s="1"/>
  <c r="P55" i="17" s="1"/>
  <c r="P56" i="17" s="1"/>
  <c r="P57" i="17" s="1"/>
  <c r="P58" i="17" s="1"/>
  <c r="R52" i="17"/>
  <c r="R53" i="17" s="1"/>
  <c r="R54" i="17" s="1"/>
  <c r="R55" i="17" s="1"/>
  <c r="R56" i="17" s="1"/>
  <c r="R57" i="17" s="1"/>
  <c r="R58" i="17" s="1"/>
  <c r="T52" i="17"/>
  <c r="T53" i="17" s="1"/>
  <c r="T54" i="17" s="1"/>
  <c r="T55" i="17" s="1"/>
  <c r="T56" i="17" s="1"/>
  <c r="T57" i="17" s="1"/>
  <c r="T58" i="17" s="1"/>
  <c r="V52" i="17"/>
  <c r="V53" i="17" s="1"/>
  <c r="V54" i="17" s="1"/>
  <c r="V55" i="17" s="1"/>
  <c r="V56" i="17" s="1"/>
  <c r="V57" i="17" s="1"/>
  <c r="V58" i="17" s="1"/>
  <c r="X52" i="17"/>
  <c r="X53" i="17" s="1"/>
  <c r="X54" i="17" s="1"/>
  <c r="X55" i="17" s="1"/>
  <c r="X56" i="17" s="1"/>
  <c r="X57" i="17" s="1"/>
  <c r="X58" i="17" s="1"/>
  <c r="Y53" i="17"/>
  <c r="Y54" i="17" s="1"/>
  <c r="Y55" i="17" s="1"/>
  <c r="Y56" i="17" s="1"/>
  <c r="Y57" i="17" s="1"/>
  <c r="Y58" i="17" s="1"/>
  <c r="Z53" i="17"/>
  <c r="Z54" i="17" s="1"/>
  <c r="Z55" i="17" s="1"/>
  <c r="Z56" i="17" s="1"/>
  <c r="Z57" i="17" s="1"/>
  <c r="Z58" i="17" s="1"/>
  <c r="AA53" i="17"/>
  <c r="AA54" i="17" s="1"/>
  <c r="AA55" i="17" s="1"/>
  <c r="AA56" i="17" s="1"/>
  <c r="AA57" i="17" s="1"/>
  <c r="AA58" i="17" s="1"/>
  <c r="D52" i="17"/>
  <c r="E5" i="17"/>
  <c r="E6" i="17" s="1"/>
  <c r="E7" i="17" s="1"/>
  <c r="E8" i="17" s="1"/>
  <c r="E9" i="17" s="1"/>
  <c r="E10" i="17" s="1"/>
  <c r="E11" i="17" s="1"/>
  <c r="E18" i="17" s="1"/>
  <c r="E19" i="17" s="1"/>
  <c r="E20" i="17" s="1"/>
  <c r="E21" i="17" s="1"/>
  <c r="E22" i="17" s="1"/>
  <c r="E23" i="17" s="1"/>
  <c r="E24" i="17" s="1"/>
  <c r="E25" i="17" s="1"/>
  <c r="E26" i="17" s="1"/>
  <c r="E29" i="17" s="1"/>
  <c r="F5" i="17"/>
  <c r="F6" i="17" s="1"/>
  <c r="F7" i="17" s="1"/>
  <c r="F8" i="17" s="1"/>
  <c r="F9" i="17" s="1"/>
  <c r="F10" i="17" s="1"/>
  <c r="F11" i="17" s="1"/>
  <c r="F18" i="17" s="1"/>
  <c r="F19" i="17" s="1"/>
  <c r="F20" i="17" s="1"/>
  <c r="F21" i="17" s="1"/>
  <c r="F22" i="17" s="1"/>
  <c r="F23" i="17" s="1"/>
  <c r="F24" i="17" s="1"/>
  <c r="F25" i="17" s="1"/>
  <c r="F26" i="17" s="1"/>
  <c r="F29" i="17" s="1"/>
  <c r="G5" i="17"/>
  <c r="G6" i="17" s="1"/>
  <c r="G7" i="17" s="1"/>
  <c r="G8" i="17" s="1"/>
  <c r="G9" i="17" s="1"/>
  <c r="G10" i="17" s="1"/>
  <c r="G11" i="17" s="1"/>
  <c r="G18" i="17" s="1"/>
  <c r="G19" i="17" s="1"/>
  <c r="G20" i="17" s="1"/>
  <c r="G21" i="17" s="1"/>
  <c r="G22" i="17" s="1"/>
  <c r="G23" i="17" s="1"/>
  <c r="G24" i="17" s="1"/>
  <c r="G25" i="17" s="1"/>
  <c r="G26" i="17" s="1"/>
  <c r="G29" i="17" s="1"/>
  <c r="H5" i="17"/>
  <c r="H6" i="17" s="1"/>
  <c r="H7" i="17" s="1"/>
  <c r="H8" i="17" s="1"/>
  <c r="H9" i="17" s="1"/>
  <c r="H10" i="17" s="1"/>
  <c r="H11" i="17" s="1"/>
  <c r="H18" i="17" s="1"/>
  <c r="H19" i="17" s="1"/>
  <c r="H20" i="17" s="1"/>
  <c r="H21" i="17" s="1"/>
  <c r="H22" i="17" s="1"/>
  <c r="H23" i="17" s="1"/>
  <c r="H24" i="17" s="1"/>
  <c r="H25" i="17" s="1"/>
  <c r="H26" i="17" s="1"/>
  <c r="H29" i="17" s="1"/>
  <c r="I5" i="17"/>
  <c r="I6" i="17" s="1"/>
  <c r="I7" i="17" s="1"/>
  <c r="I8" i="17" s="1"/>
  <c r="I9" i="17" s="1"/>
  <c r="I10" i="17" s="1"/>
  <c r="I11" i="17" s="1"/>
  <c r="I18" i="17" s="1"/>
  <c r="I19" i="17" s="1"/>
  <c r="I20" i="17" s="1"/>
  <c r="I21" i="17" s="1"/>
  <c r="I22" i="17" s="1"/>
  <c r="I23" i="17" s="1"/>
  <c r="I24" i="17" s="1"/>
  <c r="I25" i="17" s="1"/>
  <c r="I26" i="17" s="1"/>
  <c r="I29" i="17" s="1"/>
  <c r="J5" i="17"/>
  <c r="J6" i="17" s="1"/>
  <c r="J7" i="17" s="1"/>
  <c r="J8" i="17" s="1"/>
  <c r="J9" i="17" s="1"/>
  <c r="J10" i="17" s="1"/>
  <c r="J11" i="17" s="1"/>
  <c r="J18" i="17" s="1"/>
  <c r="J19" i="17" s="1"/>
  <c r="J20" i="17" s="1"/>
  <c r="J21" i="17" s="1"/>
  <c r="J22" i="17" s="1"/>
  <c r="J23" i="17" s="1"/>
  <c r="J24" i="17" s="1"/>
  <c r="J25" i="17" s="1"/>
  <c r="J26" i="17" s="1"/>
  <c r="J29" i="17" s="1"/>
  <c r="K5" i="17"/>
  <c r="K6" i="17" s="1"/>
  <c r="K7" i="17" s="1"/>
  <c r="K8" i="17" s="1"/>
  <c r="K9" i="17" s="1"/>
  <c r="K10" i="17" s="1"/>
  <c r="K11" i="17" s="1"/>
  <c r="K18" i="17" s="1"/>
  <c r="K19" i="17" s="1"/>
  <c r="K20" i="17" s="1"/>
  <c r="K21" i="17" s="1"/>
  <c r="K22" i="17" s="1"/>
  <c r="K23" i="17" s="1"/>
  <c r="K24" i="17" s="1"/>
  <c r="K25" i="17" s="1"/>
  <c r="K26" i="17" s="1"/>
  <c r="K29" i="17" s="1"/>
  <c r="L5" i="17"/>
  <c r="L6" i="17" s="1"/>
  <c r="L7" i="17" s="1"/>
  <c r="L8" i="17" s="1"/>
  <c r="L9" i="17" s="1"/>
  <c r="L10" i="17" s="1"/>
  <c r="L11" i="17" s="1"/>
  <c r="L18" i="17" s="1"/>
  <c r="L19" i="17" s="1"/>
  <c r="L20" i="17" s="1"/>
  <c r="L21" i="17" s="1"/>
  <c r="L22" i="17" s="1"/>
  <c r="L23" i="17" s="1"/>
  <c r="L24" i="17" s="1"/>
  <c r="L25" i="17" s="1"/>
  <c r="L26" i="17" s="1"/>
  <c r="L29" i="17" s="1"/>
  <c r="M5" i="17"/>
  <c r="M6" i="17" s="1"/>
  <c r="M7" i="17" s="1"/>
  <c r="M8" i="17" s="1"/>
  <c r="M9" i="17" s="1"/>
  <c r="M10" i="17" s="1"/>
  <c r="M11" i="17" s="1"/>
  <c r="M18" i="17" s="1"/>
  <c r="M19" i="17" s="1"/>
  <c r="M20" i="17" s="1"/>
  <c r="M21" i="17" s="1"/>
  <c r="M22" i="17" s="1"/>
  <c r="M23" i="17" s="1"/>
  <c r="M24" i="17" s="1"/>
  <c r="M25" i="17" s="1"/>
  <c r="M26" i="17" s="1"/>
  <c r="M29" i="17" s="1"/>
  <c r="N5" i="17"/>
  <c r="N6" i="17" s="1"/>
  <c r="N7" i="17" s="1"/>
  <c r="N8" i="17" s="1"/>
  <c r="N9" i="17" s="1"/>
  <c r="N10" i="17" s="1"/>
  <c r="N11" i="17" s="1"/>
  <c r="N18" i="17" s="1"/>
  <c r="N19" i="17" s="1"/>
  <c r="N20" i="17" s="1"/>
  <c r="N21" i="17" s="1"/>
  <c r="N22" i="17" s="1"/>
  <c r="N23" i="17" s="1"/>
  <c r="N24" i="17" s="1"/>
  <c r="N25" i="17" s="1"/>
  <c r="N26" i="17" s="1"/>
  <c r="N29" i="17" s="1"/>
  <c r="O5" i="17"/>
  <c r="O6" i="17" s="1"/>
  <c r="O7" i="17" s="1"/>
  <c r="O8" i="17" s="1"/>
  <c r="O9" i="17" s="1"/>
  <c r="O10" i="17" s="1"/>
  <c r="O11" i="17" s="1"/>
  <c r="O18" i="17" s="1"/>
  <c r="O19" i="17" s="1"/>
  <c r="O20" i="17" s="1"/>
  <c r="O21" i="17" s="1"/>
  <c r="O22" i="17" s="1"/>
  <c r="O23" i="17" s="1"/>
  <c r="O24" i="17" s="1"/>
  <c r="O25" i="17" s="1"/>
  <c r="O26" i="17" s="1"/>
  <c r="O29" i="17" s="1"/>
  <c r="P5" i="17"/>
  <c r="P6" i="17" s="1"/>
  <c r="P7" i="17" s="1"/>
  <c r="P8" i="17" s="1"/>
  <c r="P9" i="17" s="1"/>
  <c r="P10" i="17" s="1"/>
  <c r="P11" i="17" s="1"/>
  <c r="P18" i="17" s="1"/>
  <c r="P19" i="17" s="1"/>
  <c r="P20" i="17" s="1"/>
  <c r="P21" i="17" s="1"/>
  <c r="P22" i="17" s="1"/>
  <c r="P23" i="17" s="1"/>
  <c r="P24" i="17" s="1"/>
  <c r="P25" i="17" s="1"/>
  <c r="P26" i="17" s="1"/>
  <c r="P29" i="17" s="1"/>
  <c r="Q5" i="17"/>
  <c r="Q6" i="17" s="1"/>
  <c r="Q7" i="17" s="1"/>
  <c r="Q8" i="17" s="1"/>
  <c r="Q9" i="17" s="1"/>
  <c r="Q10" i="17" s="1"/>
  <c r="Q11" i="17" s="1"/>
  <c r="Q18" i="17" s="1"/>
  <c r="Q19" i="17" s="1"/>
  <c r="Q20" i="17" s="1"/>
  <c r="Q21" i="17" s="1"/>
  <c r="Q22" i="17" s="1"/>
  <c r="Q23" i="17" s="1"/>
  <c r="Q24" i="17" s="1"/>
  <c r="Q25" i="17" s="1"/>
  <c r="Q26" i="17" s="1"/>
  <c r="Q29" i="17" s="1"/>
  <c r="R5" i="17"/>
  <c r="R6" i="17" s="1"/>
  <c r="R7" i="17" s="1"/>
  <c r="R8" i="17" s="1"/>
  <c r="R9" i="17" s="1"/>
  <c r="R10" i="17" s="1"/>
  <c r="R11" i="17" s="1"/>
  <c r="R18" i="17" s="1"/>
  <c r="R19" i="17" s="1"/>
  <c r="R20" i="17" s="1"/>
  <c r="R21" i="17" s="1"/>
  <c r="R22" i="17" s="1"/>
  <c r="R23" i="17" s="1"/>
  <c r="R24" i="17" s="1"/>
  <c r="R25" i="17" s="1"/>
  <c r="R26" i="17" s="1"/>
  <c r="R29" i="17" s="1"/>
  <c r="S5" i="17"/>
  <c r="S6" i="17" s="1"/>
  <c r="S7" i="17" s="1"/>
  <c r="S8" i="17" s="1"/>
  <c r="S9" i="17" s="1"/>
  <c r="S10" i="17" s="1"/>
  <c r="S11" i="17" s="1"/>
  <c r="S18" i="17" s="1"/>
  <c r="S19" i="17" s="1"/>
  <c r="S20" i="17" s="1"/>
  <c r="S21" i="17" s="1"/>
  <c r="S22" i="17" s="1"/>
  <c r="S23" i="17" s="1"/>
  <c r="S24" i="17" s="1"/>
  <c r="S25" i="17" s="1"/>
  <c r="S26" i="17" s="1"/>
  <c r="S29" i="17" s="1"/>
  <c r="T5" i="17"/>
  <c r="T6" i="17" s="1"/>
  <c r="T7" i="17" s="1"/>
  <c r="T8" i="17" s="1"/>
  <c r="T9" i="17" s="1"/>
  <c r="T10" i="17" s="1"/>
  <c r="T11" i="17" s="1"/>
  <c r="T18" i="17" s="1"/>
  <c r="D5" i="17"/>
  <c r="D6" i="17" s="1"/>
  <c r="D7" i="17" s="1"/>
  <c r="D8" i="17" s="1"/>
  <c r="D9" i="17" s="1"/>
  <c r="D10" i="17" s="1"/>
  <c r="U29" i="18"/>
  <c r="U30" i="18" s="1"/>
  <c r="U31" i="18" s="1"/>
  <c r="U32" i="18" s="1"/>
  <c r="U33" i="18" s="1"/>
  <c r="U34" i="18" s="1"/>
  <c r="U35" i="18" s="1"/>
  <c r="V29" i="18"/>
  <c r="V30" i="18" s="1"/>
  <c r="V31" i="18" s="1"/>
  <c r="V32" i="18" s="1"/>
  <c r="V33" i="18" s="1"/>
  <c r="V34" i="18" s="1"/>
  <c r="V35" i="18" s="1"/>
  <c r="W29" i="18"/>
  <c r="W30" i="18" s="1"/>
  <c r="W31" i="18" s="1"/>
  <c r="W32" i="18" s="1"/>
  <c r="W33" i="18" s="1"/>
  <c r="W34" i="18" s="1"/>
  <c r="W35" i="18" s="1"/>
  <c r="X29" i="18"/>
  <c r="X30" i="18" s="1"/>
  <c r="X31" i="18" s="1"/>
  <c r="X32" i="18" s="1"/>
  <c r="X33" i="18" s="1"/>
  <c r="X34" i="18" s="1"/>
  <c r="X35" i="18" s="1"/>
  <c r="Y29" i="18"/>
  <c r="Y30" i="18" s="1"/>
  <c r="Y31" i="18" s="1"/>
  <c r="Y32" i="18" s="1"/>
  <c r="Y33" i="18" s="1"/>
  <c r="Y34" i="18" s="1"/>
  <c r="Y35" i="18" s="1"/>
  <c r="Z29" i="18"/>
  <c r="Z30" i="18" s="1"/>
  <c r="Z31" i="18" s="1"/>
  <c r="Z32" i="18" s="1"/>
  <c r="Z33" i="18" s="1"/>
  <c r="Z34" i="18" s="1"/>
  <c r="Z35" i="18" s="1"/>
  <c r="AA29" i="18"/>
  <c r="AA30" i="18" s="1"/>
  <c r="AA31" i="18" s="1"/>
  <c r="AA32" i="18" s="1"/>
  <c r="AA33" i="18" s="1"/>
  <c r="AA34" i="18" s="1"/>
  <c r="AA35" i="18" s="1"/>
  <c r="AB29" i="18"/>
  <c r="AB30" i="18" s="1"/>
  <c r="AB31" i="18" s="1"/>
  <c r="AB32" i="18" s="1"/>
  <c r="AB33" i="18" s="1"/>
  <c r="AB34" i="18" s="1"/>
  <c r="AB35" i="18" s="1"/>
  <c r="AC29" i="18"/>
  <c r="AC30" i="18" s="1"/>
  <c r="AC31" i="18" s="1"/>
  <c r="AC32" i="18" s="1"/>
  <c r="AC33" i="18" s="1"/>
  <c r="AC34" i="18" s="1"/>
  <c r="AC35" i="18" s="1"/>
  <c r="AD29" i="18"/>
  <c r="AD30" i="18" s="1"/>
  <c r="AD31" i="18" s="1"/>
  <c r="AD32" i="18" s="1"/>
  <c r="AD33" i="18" s="1"/>
  <c r="AD34" i="18" s="1"/>
  <c r="AD35" i="18" s="1"/>
  <c r="AE29" i="18"/>
  <c r="AE30" i="18" s="1"/>
  <c r="AE31" i="18" s="1"/>
  <c r="AE32" i="18" s="1"/>
  <c r="AE33" i="18" s="1"/>
  <c r="AE34" i="18" s="1"/>
  <c r="AE35" i="18" s="1"/>
  <c r="AF29" i="18"/>
  <c r="AF30" i="18" s="1"/>
  <c r="AF31" i="18" s="1"/>
  <c r="AF32" i="18" s="1"/>
  <c r="AF33" i="18" s="1"/>
  <c r="AF34" i="18" s="1"/>
  <c r="AF35" i="18" s="1"/>
  <c r="AG29" i="18"/>
  <c r="AG30" i="18" s="1"/>
  <c r="AG31" i="18" s="1"/>
  <c r="AG32" i="18" s="1"/>
  <c r="AG33" i="18" s="1"/>
  <c r="AG34" i="18" s="1"/>
  <c r="AG35" i="18" s="1"/>
  <c r="AH29" i="18"/>
  <c r="AH30" i="18" s="1"/>
  <c r="AH31" i="18" s="1"/>
  <c r="AH32" i="18" s="1"/>
  <c r="AH33" i="18" s="1"/>
  <c r="AH34" i="18" s="1"/>
  <c r="AH35" i="18" s="1"/>
  <c r="L29" i="18"/>
  <c r="L30" i="18" s="1"/>
  <c r="L31" i="18" s="1"/>
  <c r="L32" i="18" s="1"/>
  <c r="L33" i="18" s="1"/>
  <c r="L34" i="18" s="1"/>
  <c r="L35" i="18" s="1"/>
  <c r="M29" i="18"/>
  <c r="M30" i="18" s="1"/>
  <c r="M31" i="18" s="1"/>
  <c r="M32" i="18" s="1"/>
  <c r="M33" i="18" s="1"/>
  <c r="M34" i="18" s="1"/>
  <c r="M35" i="18" s="1"/>
  <c r="N29" i="18"/>
  <c r="N30" i="18" s="1"/>
  <c r="N31" i="18" s="1"/>
  <c r="N32" i="18" s="1"/>
  <c r="N33" i="18" s="1"/>
  <c r="N34" i="18" s="1"/>
  <c r="N35" i="18" s="1"/>
  <c r="O29" i="18"/>
  <c r="O30" i="18" s="1"/>
  <c r="O31" i="18" s="1"/>
  <c r="O32" i="18" s="1"/>
  <c r="O33" i="18" s="1"/>
  <c r="O34" i="18" s="1"/>
  <c r="O35" i="18" s="1"/>
  <c r="P29" i="18"/>
  <c r="P30" i="18" s="1"/>
  <c r="P31" i="18" s="1"/>
  <c r="P32" i="18" s="1"/>
  <c r="P33" i="18" s="1"/>
  <c r="P34" i="18" s="1"/>
  <c r="P35" i="18" s="1"/>
  <c r="Q29" i="18"/>
  <c r="Q30" i="18" s="1"/>
  <c r="Q31" i="18" s="1"/>
  <c r="Q32" i="18" s="1"/>
  <c r="Q33" i="18" s="1"/>
  <c r="Q34" i="18" s="1"/>
  <c r="Q35" i="18" s="1"/>
  <c r="R29" i="18"/>
  <c r="R30" i="18" s="1"/>
  <c r="R31" i="18" s="1"/>
  <c r="R32" i="18" s="1"/>
  <c r="R33" i="18" s="1"/>
  <c r="R34" i="18" s="1"/>
  <c r="R35" i="18" s="1"/>
  <c r="S29" i="18"/>
  <c r="S30" i="18" s="1"/>
  <c r="S31" i="18" s="1"/>
  <c r="S32" i="18" s="1"/>
  <c r="S33" i="18" s="1"/>
  <c r="S34" i="18" s="1"/>
  <c r="S35" i="18" s="1"/>
  <c r="T29" i="18"/>
  <c r="T30" i="18" s="1"/>
  <c r="T31" i="18" s="1"/>
  <c r="T32" i="18" s="1"/>
  <c r="T33" i="18" s="1"/>
  <c r="T34" i="18" s="1"/>
  <c r="T35" i="18" s="1"/>
  <c r="F29" i="18"/>
  <c r="F30" i="18" s="1"/>
  <c r="F31" i="18" s="1"/>
  <c r="F32" i="18" s="1"/>
  <c r="F33" i="18" s="1"/>
  <c r="F34" i="18" s="1"/>
  <c r="F35" i="18" s="1"/>
  <c r="G29" i="18"/>
  <c r="G30" i="18" s="1"/>
  <c r="G31" i="18" s="1"/>
  <c r="G32" i="18" s="1"/>
  <c r="G33" i="18" s="1"/>
  <c r="G34" i="18" s="1"/>
  <c r="G35" i="18" s="1"/>
  <c r="H29" i="18"/>
  <c r="H30" i="18" s="1"/>
  <c r="H31" i="18" s="1"/>
  <c r="H32" i="18" s="1"/>
  <c r="H33" i="18" s="1"/>
  <c r="H34" i="18" s="1"/>
  <c r="H35" i="18" s="1"/>
  <c r="I29" i="18"/>
  <c r="I30" i="18" s="1"/>
  <c r="I31" i="18" s="1"/>
  <c r="I32" i="18" s="1"/>
  <c r="I33" i="18" s="1"/>
  <c r="I34" i="18" s="1"/>
  <c r="I35" i="18" s="1"/>
  <c r="J29" i="18"/>
  <c r="J30" i="18" s="1"/>
  <c r="J31" i="18" s="1"/>
  <c r="J32" i="18" s="1"/>
  <c r="J33" i="18" s="1"/>
  <c r="J34" i="18" s="1"/>
  <c r="J35" i="18" s="1"/>
  <c r="K29" i="18"/>
  <c r="K30" i="18" s="1"/>
  <c r="K31" i="18" s="1"/>
  <c r="K32" i="18" s="1"/>
  <c r="K33" i="18" s="1"/>
  <c r="K34" i="18" s="1"/>
  <c r="K35" i="18" s="1"/>
  <c r="AN10" i="18"/>
  <c r="AN11" i="18" s="1"/>
  <c r="AN12" i="18" s="1"/>
  <c r="AN13" i="18" s="1"/>
  <c r="AN14" i="18" s="1"/>
  <c r="AN15" i="18" s="1"/>
  <c r="AN19" i="18" s="1"/>
  <c r="AM10" i="18"/>
  <c r="AM11" i="18" s="1"/>
  <c r="AM12" i="18" s="1"/>
  <c r="AM13" i="18" s="1"/>
  <c r="AM14" i="18" s="1"/>
  <c r="AM15" i="18" s="1"/>
  <c r="AM19" i="18" s="1"/>
  <c r="AL10" i="18"/>
  <c r="AL11" i="18" s="1"/>
  <c r="AL12" i="18" s="1"/>
  <c r="AL13" i="18" s="1"/>
  <c r="AL14" i="18" s="1"/>
  <c r="AL15" i="18" s="1"/>
  <c r="AL19" i="18" s="1"/>
  <c r="AJ10" i="18"/>
  <c r="AJ11" i="18" s="1"/>
  <c r="AJ12" i="18" s="1"/>
  <c r="AJ13" i="18" s="1"/>
  <c r="AJ14" i="18" s="1"/>
  <c r="AJ15" i="18" s="1"/>
  <c r="AJ19" i="18" s="1"/>
  <c r="AI10" i="18"/>
  <c r="AI11" i="18" s="1"/>
  <c r="AI12" i="18" s="1"/>
  <c r="AI13" i="18" s="1"/>
  <c r="AI14" i="18" s="1"/>
  <c r="AI15" i="18" s="1"/>
  <c r="AI19" i="18" s="1"/>
  <c r="AJ6" i="18"/>
  <c r="AJ7" i="18" s="1"/>
  <c r="AJ8" i="18" s="1"/>
  <c r="AG6" i="18"/>
  <c r="AG7" i="18" s="1"/>
  <c r="AG8" i="18" s="1"/>
  <c r="AF10" i="18"/>
  <c r="AF11" i="18" s="1"/>
  <c r="AF12" i="18" s="1"/>
  <c r="AF13" i="18" s="1"/>
  <c r="AF14" i="18" s="1"/>
  <c r="AF15" i="18" s="1"/>
  <c r="AF19" i="18" s="1"/>
  <c r="AG10" i="18"/>
  <c r="AG11" i="18" s="1"/>
  <c r="AG12" i="18" s="1"/>
  <c r="AG13" i="18" s="1"/>
  <c r="AG14" i="18" s="1"/>
  <c r="AG15" i="18" s="1"/>
  <c r="AG19" i="18" s="1"/>
  <c r="AH10" i="18"/>
  <c r="AH11" i="18" s="1"/>
  <c r="AH12" i="18" s="1"/>
  <c r="AH13" i="18" s="1"/>
  <c r="AH14" i="18" s="1"/>
  <c r="AH15" i="18" s="1"/>
  <c r="AH19" i="18" s="1"/>
  <c r="AD6" i="18"/>
  <c r="AD7" i="18" s="1"/>
  <c r="AD8" i="18" s="1"/>
  <c r="AC10" i="18"/>
  <c r="AC11" i="18" s="1"/>
  <c r="AC12" i="18" s="1"/>
  <c r="AC13" i="18" s="1"/>
  <c r="AC14" i="18" s="1"/>
  <c r="AC15" i="18" s="1"/>
  <c r="AC19" i="18" s="1"/>
  <c r="AD10" i="18"/>
  <c r="AD11" i="18" s="1"/>
  <c r="AD12" i="18" s="1"/>
  <c r="AD13" i="18" s="1"/>
  <c r="AD14" i="18" s="1"/>
  <c r="AD15" i="18" s="1"/>
  <c r="AD19" i="18" s="1"/>
  <c r="AE10" i="18"/>
  <c r="AE11" i="18" s="1"/>
  <c r="AE12" i="18" s="1"/>
  <c r="AE13" i="18" s="1"/>
  <c r="AE14" i="18" s="1"/>
  <c r="AE15" i="18" s="1"/>
  <c r="AE19" i="18" s="1"/>
  <c r="AA10" i="18"/>
  <c r="AA11" i="18" s="1"/>
  <c r="AA12" i="18" s="1"/>
  <c r="AA13" i="18" s="1"/>
  <c r="AA14" i="18" s="1"/>
  <c r="AA15" i="18" s="1"/>
  <c r="AA19" i="18" s="1"/>
  <c r="AB10" i="18"/>
  <c r="AB11" i="18" s="1"/>
  <c r="AB12" i="18" s="1"/>
  <c r="AB13" i="18" s="1"/>
  <c r="AB14" i="18" s="1"/>
  <c r="AB15" i="18" s="1"/>
  <c r="AB19" i="18" s="1"/>
  <c r="AA6" i="18"/>
  <c r="AA7" i="18" s="1"/>
  <c r="AA8" i="18" s="1"/>
  <c r="Z10" i="18"/>
  <c r="Z11" i="18" s="1"/>
  <c r="Z12" i="18" s="1"/>
  <c r="Z13" i="18" s="1"/>
  <c r="Z14" i="18" s="1"/>
  <c r="Z15" i="18" s="1"/>
  <c r="Z19" i="18" s="1"/>
  <c r="R10" i="18"/>
  <c r="R11" i="18" s="1"/>
  <c r="R12" i="18" s="1"/>
  <c r="R13" i="18" s="1"/>
  <c r="R14" i="18" s="1"/>
  <c r="R15" i="18" s="1"/>
  <c r="R19" i="18" s="1"/>
  <c r="S10" i="18"/>
  <c r="S11" i="18" s="1"/>
  <c r="S12" i="18" s="1"/>
  <c r="S13" i="18" s="1"/>
  <c r="S14" i="18" s="1"/>
  <c r="S15" i="18" s="1"/>
  <c r="S19" i="18" s="1"/>
  <c r="T10" i="18"/>
  <c r="T11" i="18" s="1"/>
  <c r="T12" i="18" s="1"/>
  <c r="T13" i="18" s="1"/>
  <c r="T14" i="18" s="1"/>
  <c r="T15" i="18" s="1"/>
  <c r="T19" i="18" s="1"/>
  <c r="U10" i="18"/>
  <c r="U11" i="18" s="1"/>
  <c r="U12" i="18" s="1"/>
  <c r="U13" i="18" s="1"/>
  <c r="U14" i="18" s="1"/>
  <c r="U15" i="18" s="1"/>
  <c r="U19" i="18" s="1"/>
  <c r="V10" i="18"/>
  <c r="V11" i="18" s="1"/>
  <c r="V12" i="18" s="1"/>
  <c r="V13" i="18" s="1"/>
  <c r="V14" i="18" s="1"/>
  <c r="V15" i="18" s="1"/>
  <c r="V19" i="18" s="1"/>
  <c r="W10" i="18"/>
  <c r="W11" i="18" s="1"/>
  <c r="W12" i="18" s="1"/>
  <c r="W13" i="18" s="1"/>
  <c r="W14" i="18" s="1"/>
  <c r="W15" i="18" s="1"/>
  <c r="W19" i="18" s="1"/>
  <c r="X10" i="18"/>
  <c r="X11" i="18" s="1"/>
  <c r="X12" i="18" s="1"/>
  <c r="X13" i="18" s="1"/>
  <c r="X14" i="18" s="1"/>
  <c r="X15" i="18" s="1"/>
  <c r="X19" i="18" s="1"/>
  <c r="P10" i="18"/>
  <c r="P11" i="18" s="1"/>
  <c r="P12" i="18" s="1"/>
  <c r="P13" i="18" s="1"/>
  <c r="P14" i="18" s="1"/>
  <c r="P15" i="18" s="1"/>
  <c r="P19" i="18" s="1"/>
  <c r="Q10" i="18"/>
  <c r="Q11" i="18" s="1"/>
  <c r="Q12" i="18" s="1"/>
  <c r="Q13" i="18" s="1"/>
  <c r="Q14" i="18" s="1"/>
  <c r="Q15" i="18" s="1"/>
  <c r="Q19" i="18" s="1"/>
  <c r="Y10" i="18"/>
  <c r="Y11" i="18" s="1"/>
  <c r="Y12" i="18" s="1"/>
  <c r="Y13" i="18" s="1"/>
  <c r="Y14" i="18" s="1"/>
  <c r="Y15" i="18" s="1"/>
  <c r="Y19" i="18" s="1"/>
  <c r="L10" i="18"/>
  <c r="L11" i="18" s="1"/>
  <c r="L12" i="18" s="1"/>
  <c r="L13" i="18" s="1"/>
  <c r="L14" i="18" s="1"/>
  <c r="L15" i="18" s="1"/>
  <c r="L19" i="18" s="1"/>
  <c r="M6" i="18"/>
  <c r="M7" i="18" s="1"/>
  <c r="M8" i="18" s="1"/>
  <c r="M9" i="18" s="1"/>
  <c r="M10" i="18" s="1"/>
  <c r="M11" i="18" s="1"/>
  <c r="M12" i="18" s="1"/>
  <c r="M13" i="18" s="1"/>
  <c r="M14" i="18" s="1"/>
  <c r="M15" i="18" s="1"/>
  <c r="M19" i="18" s="1"/>
  <c r="K10" i="18"/>
  <c r="K11" i="18" s="1"/>
  <c r="K12" i="18" s="1"/>
  <c r="K13" i="18" s="1"/>
  <c r="K14" i="18" s="1"/>
  <c r="K15" i="18" s="1"/>
  <c r="K19" i="18" s="1"/>
  <c r="N10" i="18"/>
  <c r="N11" i="18" s="1"/>
  <c r="N12" i="18" s="1"/>
  <c r="N13" i="18" s="1"/>
  <c r="N14" i="18" s="1"/>
  <c r="N15" i="18" s="1"/>
  <c r="N19" i="18" s="1"/>
  <c r="I6" i="18"/>
  <c r="I7" i="18" s="1"/>
  <c r="I8" i="18" s="1"/>
  <c r="I9" i="18" s="1"/>
  <c r="I10" i="18" s="1"/>
  <c r="I11" i="18" s="1"/>
  <c r="I12" i="18" s="1"/>
  <c r="I13" i="18" s="1"/>
  <c r="I14" i="18" s="1"/>
  <c r="I15" i="18" s="1"/>
  <c r="I19" i="18" s="1"/>
  <c r="H10" i="18"/>
  <c r="H11" i="18" s="1"/>
  <c r="H12" i="18" s="1"/>
  <c r="H13" i="18" s="1"/>
  <c r="H14" i="18" s="1"/>
  <c r="H15" i="18" s="1"/>
  <c r="H19" i="18" s="1"/>
  <c r="J10" i="18"/>
  <c r="J11" i="18" s="1"/>
  <c r="J12" i="18" s="1"/>
  <c r="J13" i="18" s="1"/>
  <c r="J14" i="18" s="1"/>
  <c r="J15" i="18" s="1"/>
  <c r="J19" i="18" s="1"/>
  <c r="E10" i="18"/>
  <c r="E11" i="18" s="1"/>
  <c r="E12" i="18" s="1"/>
  <c r="E13" i="18" s="1"/>
  <c r="E14" i="18" s="1"/>
  <c r="E15" i="18" s="1"/>
  <c r="E19" i="18" s="1"/>
  <c r="F6" i="18"/>
  <c r="F7" i="18" s="1"/>
  <c r="F8" i="18" s="1"/>
  <c r="F9" i="18" s="1"/>
  <c r="F10" i="18" s="1"/>
  <c r="F11" i="18" s="1"/>
  <c r="F12" i="18" s="1"/>
  <c r="F13" i="18" s="1"/>
  <c r="F14" i="18" s="1"/>
  <c r="F15" i="18" s="1"/>
  <c r="F19" i="18" s="1"/>
  <c r="O10" i="18"/>
  <c r="O11" i="18" s="1"/>
  <c r="O12" i="18" s="1"/>
  <c r="O13" i="18" s="1"/>
  <c r="O14" i="18" s="1"/>
  <c r="O15" i="18" s="1"/>
  <c r="O19" i="18" s="1"/>
  <c r="AO10" i="18"/>
  <c r="AO11" i="18" s="1"/>
  <c r="AO12" i="18" s="1"/>
  <c r="AO13" i="18" s="1"/>
  <c r="AO14" i="18" s="1"/>
  <c r="AO15" i="18" s="1"/>
  <c r="AO19" i="18" s="1"/>
  <c r="D6" i="18"/>
  <c r="D7" i="18" s="1"/>
  <c r="D8" i="18" s="1"/>
  <c r="D9" i="18" s="1"/>
  <c r="D10" i="18" s="1"/>
  <c r="D11" i="18" s="1"/>
  <c r="D12" i="18" s="1"/>
  <c r="D13" i="18" s="1"/>
  <c r="D14" i="18" s="1"/>
  <c r="D15" i="18" s="1"/>
  <c r="D19" i="18" s="1"/>
  <c r="E29" i="22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3" i="22" s="1"/>
  <c r="E44" i="22" s="1"/>
  <c r="F29" i="22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3" i="22" s="1"/>
  <c r="F44" i="22" s="1"/>
  <c r="G29" i="22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3" i="22" s="1"/>
  <c r="G44" i="22" s="1"/>
  <c r="H29" i="22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3" i="22" s="1"/>
  <c r="H44" i="22" s="1"/>
  <c r="I29" i="22"/>
  <c r="J29" i="22"/>
  <c r="K29" i="22"/>
  <c r="K30" i="22" s="1"/>
  <c r="K31" i="22" s="1"/>
  <c r="K32" i="22" s="1"/>
  <c r="K33" i="22" s="1"/>
  <c r="K34" i="22" s="1"/>
  <c r="K35" i="22" s="1"/>
  <c r="K36" i="22" s="1"/>
  <c r="K37" i="22" s="1"/>
  <c r="K38" i="22" s="1"/>
  <c r="K39" i="22" s="1"/>
  <c r="K40" i="22" s="1"/>
  <c r="K41" i="22" s="1"/>
  <c r="K43" i="22" s="1"/>
  <c r="K44" i="22" s="1"/>
  <c r="L29" i="22"/>
  <c r="L30" i="22" s="1"/>
  <c r="L31" i="22" s="1"/>
  <c r="L32" i="22" s="1"/>
  <c r="L33" i="22" s="1"/>
  <c r="L34" i="22" s="1"/>
  <c r="L35" i="22" s="1"/>
  <c r="L36" i="22" s="1"/>
  <c r="L37" i="22" s="1"/>
  <c r="L38" i="22" s="1"/>
  <c r="L39" i="22" s="1"/>
  <c r="L40" i="22" s="1"/>
  <c r="L41" i="22" s="1"/>
  <c r="L43" i="22" s="1"/>
  <c r="L44" i="22" s="1"/>
  <c r="M29" i="22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3" i="22" s="1"/>
  <c r="M44" i="22" s="1"/>
  <c r="N29" i="22"/>
  <c r="N30" i="22" s="1"/>
  <c r="N31" i="22" s="1"/>
  <c r="N32" i="22" s="1"/>
  <c r="N33" i="22" s="1"/>
  <c r="N34" i="22" s="1"/>
  <c r="N35" i="22" s="1"/>
  <c r="N36" i="22" s="1"/>
  <c r="N37" i="22" s="1"/>
  <c r="N38" i="22" s="1"/>
  <c r="N39" i="22" s="1"/>
  <c r="N40" i="22" s="1"/>
  <c r="N41" i="22" s="1"/>
  <c r="N43" i="22" s="1"/>
  <c r="N44" i="22" s="1"/>
  <c r="O29" i="22"/>
  <c r="O30" i="22" s="1"/>
  <c r="O31" i="22" s="1"/>
  <c r="O32" i="22" s="1"/>
  <c r="O33" i="22" s="1"/>
  <c r="O34" i="22" s="1"/>
  <c r="O35" i="22" s="1"/>
  <c r="O36" i="22" s="1"/>
  <c r="O37" i="22" s="1"/>
  <c r="O38" i="22" s="1"/>
  <c r="O39" i="22" s="1"/>
  <c r="O40" i="22" s="1"/>
  <c r="O41" i="22" s="1"/>
  <c r="O43" i="22" s="1"/>
  <c r="O44" i="22" s="1"/>
  <c r="P29" i="22"/>
  <c r="P30" i="22" s="1"/>
  <c r="P31" i="22" s="1"/>
  <c r="P32" i="22" s="1"/>
  <c r="P33" i="22" s="1"/>
  <c r="P34" i="22" s="1"/>
  <c r="P35" i="22" s="1"/>
  <c r="P36" i="22" s="1"/>
  <c r="P37" i="22" s="1"/>
  <c r="P38" i="22" s="1"/>
  <c r="P39" i="22" s="1"/>
  <c r="P40" i="22" s="1"/>
  <c r="P41" i="22" s="1"/>
  <c r="P43" i="22" s="1"/>
  <c r="P44" i="22" s="1"/>
  <c r="Q29" i="22"/>
  <c r="Q30" i="22" s="1"/>
  <c r="Q31" i="22" s="1"/>
  <c r="Q32" i="22" s="1"/>
  <c r="Q33" i="22" s="1"/>
  <c r="Q34" i="22" s="1"/>
  <c r="Q35" i="22" s="1"/>
  <c r="Q36" i="22" s="1"/>
  <c r="Q37" i="22" s="1"/>
  <c r="Q38" i="22" s="1"/>
  <c r="Q39" i="22" s="1"/>
  <c r="Q40" i="22" s="1"/>
  <c r="Q41" i="22" s="1"/>
  <c r="Q43" i="22" s="1"/>
  <c r="Q44" i="22" s="1"/>
  <c r="R29" i="22"/>
  <c r="R30" i="22" s="1"/>
  <c r="R31" i="22" s="1"/>
  <c r="R32" i="22" s="1"/>
  <c r="R33" i="22" s="1"/>
  <c r="R34" i="22" s="1"/>
  <c r="R35" i="22" s="1"/>
  <c r="R36" i="22" s="1"/>
  <c r="R37" i="22" s="1"/>
  <c r="R38" i="22" s="1"/>
  <c r="R39" i="22" s="1"/>
  <c r="R40" i="22" s="1"/>
  <c r="R41" i="22" s="1"/>
  <c r="R43" i="22" s="1"/>
  <c r="R44" i="22" s="1"/>
  <c r="S29" i="22"/>
  <c r="S30" i="22" s="1"/>
  <c r="S31" i="22" s="1"/>
  <c r="S32" i="22" s="1"/>
  <c r="S33" i="22" s="1"/>
  <c r="S34" i="22" s="1"/>
  <c r="S35" i="22" s="1"/>
  <c r="S36" i="22" s="1"/>
  <c r="S37" i="22" s="1"/>
  <c r="S38" i="22" s="1"/>
  <c r="S39" i="22" s="1"/>
  <c r="S40" i="22" s="1"/>
  <c r="S41" i="22" s="1"/>
  <c r="S43" i="22" s="1"/>
  <c r="S44" i="22" s="1"/>
  <c r="T29" i="22"/>
  <c r="T30" i="22" s="1"/>
  <c r="T31" i="22" s="1"/>
  <c r="T32" i="22" s="1"/>
  <c r="T33" i="22" s="1"/>
  <c r="T34" i="22" s="1"/>
  <c r="T35" i="22" s="1"/>
  <c r="T36" i="22" s="1"/>
  <c r="T37" i="22" s="1"/>
  <c r="T38" i="22" s="1"/>
  <c r="T39" i="22" s="1"/>
  <c r="T40" i="22" s="1"/>
  <c r="T41" i="22" s="1"/>
  <c r="T43" i="22" s="1"/>
  <c r="T44" i="22" s="1"/>
  <c r="I30" i="22"/>
  <c r="I31" i="22" s="1"/>
  <c r="I32" i="22" s="1"/>
  <c r="I33" i="22" s="1"/>
  <c r="I34" i="22" s="1"/>
  <c r="I35" i="22" s="1"/>
  <c r="I36" i="22" s="1"/>
  <c r="I37" i="22" s="1"/>
  <c r="I38" i="22" s="1"/>
  <c r="I39" i="22" s="1"/>
  <c r="I40" i="22" s="1"/>
  <c r="I41" i="22" s="1"/>
  <c r="I43" i="22" s="1"/>
  <c r="I44" i="22" s="1"/>
  <c r="J30" i="22"/>
  <c r="J31" i="22" s="1"/>
  <c r="J32" i="22" s="1"/>
  <c r="J33" i="22" s="1"/>
  <c r="J34" i="22" s="1"/>
  <c r="J35" i="22" s="1"/>
  <c r="J36" i="22" s="1"/>
  <c r="J37" i="22" s="1"/>
  <c r="J38" i="22" s="1"/>
  <c r="J39" i="22" s="1"/>
  <c r="J40" i="22" s="1"/>
  <c r="J41" i="22" s="1"/>
  <c r="J43" i="22" s="1"/>
  <c r="J44" i="22" s="1"/>
  <c r="E6" i="22"/>
  <c r="E7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F6" i="22"/>
  <c r="F7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G6" i="22"/>
  <c r="G7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H6" i="22"/>
  <c r="H7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I6" i="22"/>
  <c r="I7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J6" i="22"/>
  <c r="J7" i="22" s="1"/>
  <c r="J9" i="22" s="1"/>
  <c r="J10" i="22" s="1"/>
  <c r="J11" i="22" s="1"/>
  <c r="J12" i="22" s="1"/>
  <c r="J13" i="22" s="1"/>
  <c r="J14" i="22" s="1"/>
  <c r="J15" i="22" s="1"/>
  <c r="J16" i="22" s="1"/>
  <c r="J17" i="22" s="1"/>
  <c r="J18" i="22" s="1"/>
  <c r="J19" i="22" s="1"/>
  <c r="J20" i="22" s="1"/>
  <c r="K6" i="22"/>
  <c r="K7" i="22" s="1"/>
  <c r="K9" i="22" s="1"/>
  <c r="K10" i="22" s="1"/>
  <c r="K11" i="22" s="1"/>
  <c r="K12" i="22" s="1"/>
  <c r="K13" i="22" s="1"/>
  <c r="K14" i="22" s="1"/>
  <c r="K15" i="22" s="1"/>
  <c r="K16" i="22" s="1"/>
  <c r="K17" i="22" s="1"/>
  <c r="K18" i="22" s="1"/>
  <c r="K19" i="22" s="1"/>
  <c r="K20" i="22" s="1"/>
  <c r="L6" i="22"/>
  <c r="L7" i="22" s="1"/>
  <c r="L9" i="22" s="1"/>
  <c r="L10" i="22" s="1"/>
  <c r="L11" i="22" s="1"/>
  <c r="L12" i="22" s="1"/>
  <c r="L13" i="22" s="1"/>
  <c r="L14" i="22" s="1"/>
  <c r="L15" i="22" s="1"/>
  <c r="L16" i="22" s="1"/>
  <c r="L17" i="22" s="1"/>
  <c r="L18" i="22" s="1"/>
  <c r="L19" i="22" s="1"/>
  <c r="L20" i="22" s="1"/>
  <c r="M6" i="22"/>
  <c r="M7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N6" i="22"/>
  <c r="N7" i="22" s="1"/>
  <c r="N9" i="22" s="1"/>
  <c r="N10" i="22" s="1"/>
  <c r="N11" i="22" s="1"/>
  <c r="N12" i="22" s="1"/>
  <c r="N13" i="22" s="1"/>
  <c r="N14" i="22" s="1"/>
  <c r="N15" i="22" s="1"/>
  <c r="N16" i="22" s="1"/>
  <c r="N17" i="22" s="1"/>
  <c r="N18" i="22" s="1"/>
  <c r="N19" i="22" s="1"/>
  <c r="N20" i="22" s="1"/>
  <c r="O6" i="22"/>
  <c r="O7" i="22" s="1"/>
  <c r="O9" i="22" s="1"/>
  <c r="O10" i="22" s="1"/>
  <c r="O11" i="22" s="1"/>
  <c r="O12" i="22" s="1"/>
  <c r="O13" i="22" s="1"/>
  <c r="O14" i="22" s="1"/>
  <c r="O15" i="22" s="1"/>
  <c r="O16" i="22" s="1"/>
  <c r="O17" i="22" s="1"/>
  <c r="O18" i="22" s="1"/>
  <c r="O19" i="22" s="1"/>
  <c r="O20" i="22" s="1"/>
  <c r="P6" i="22"/>
  <c r="P7" i="22" s="1"/>
  <c r="P9" i="22" s="1"/>
  <c r="P10" i="22" s="1"/>
  <c r="P11" i="22" s="1"/>
  <c r="P12" i="22" s="1"/>
  <c r="P13" i="22" s="1"/>
  <c r="P14" i="22" s="1"/>
  <c r="P15" i="22" s="1"/>
  <c r="P16" i="22" s="1"/>
  <c r="P17" i="22" s="1"/>
  <c r="P18" i="22" s="1"/>
  <c r="P19" i="22" s="1"/>
  <c r="P20" i="22" s="1"/>
  <c r="Q6" i="22"/>
  <c r="Q7" i="22" s="1"/>
  <c r="Q9" i="22" s="1"/>
  <c r="Q10" i="22" s="1"/>
  <c r="Q11" i="22" s="1"/>
  <c r="Q12" i="22" s="1"/>
  <c r="Q13" i="22" s="1"/>
  <c r="Q14" i="22" s="1"/>
  <c r="Q15" i="22" s="1"/>
  <c r="Q16" i="22" s="1"/>
  <c r="Q17" i="22" s="1"/>
  <c r="Q18" i="22" s="1"/>
  <c r="Q19" i="22" s="1"/>
  <c r="Q20" i="22" s="1"/>
  <c r="R6" i="22"/>
  <c r="R7" i="22" s="1"/>
  <c r="R9" i="22" s="1"/>
  <c r="R10" i="22" s="1"/>
  <c r="R11" i="22" s="1"/>
  <c r="R12" i="22" s="1"/>
  <c r="R13" i="22" s="1"/>
  <c r="R14" i="22" s="1"/>
  <c r="R15" i="22" s="1"/>
  <c r="R16" i="22" s="1"/>
  <c r="R17" i="22" s="1"/>
  <c r="R18" i="22" s="1"/>
  <c r="R19" i="22" s="1"/>
  <c r="R20" i="22" s="1"/>
  <c r="S6" i="22"/>
  <c r="S7" i="22" s="1"/>
  <c r="S9" i="22" s="1"/>
  <c r="S10" i="22" s="1"/>
  <c r="S11" i="22" s="1"/>
  <c r="S12" i="22" s="1"/>
  <c r="S13" i="22" s="1"/>
  <c r="S14" i="22" s="1"/>
  <c r="S15" i="22" s="1"/>
  <c r="S16" i="22" s="1"/>
  <c r="S17" i="22" s="1"/>
  <c r="S18" i="22" s="1"/>
  <c r="S19" i="22" s="1"/>
  <c r="S20" i="22" s="1"/>
  <c r="E38" i="12"/>
  <c r="E39" i="12" s="1"/>
  <c r="E40" i="12" s="1"/>
  <c r="E41" i="12" s="1"/>
  <c r="E42" i="12" s="1"/>
  <c r="E43" i="12" s="1"/>
  <c r="E44" i="12" s="1"/>
  <c r="E45" i="12" s="1"/>
  <c r="E46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F38" i="12"/>
  <c r="F39" i="12" s="1"/>
  <c r="F40" i="12" s="1"/>
  <c r="F41" i="12" s="1"/>
  <c r="F42" i="12" s="1"/>
  <c r="F43" i="12" s="1"/>
  <c r="F44" i="12" s="1"/>
  <c r="F45" i="12" s="1"/>
  <c r="F46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H38" i="12"/>
  <c r="H39" i="12" s="1"/>
  <c r="H40" i="12" s="1"/>
  <c r="H41" i="12" s="1"/>
  <c r="H42" i="12" s="1"/>
  <c r="H43" i="12" s="1"/>
  <c r="H44" i="12" s="1"/>
  <c r="H45" i="12" s="1"/>
  <c r="H46" i="12" s="1"/>
  <c r="H51" i="12" s="1"/>
  <c r="H52" i="12" s="1"/>
  <c r="H53" i="12" s="1"/>
  <c r="H54" i="12" s="1"/>
  <c r="H55" i="12" s="1"/>
  <c r="H56" i="12" s="1"/>
  <c r="H57" i="12" s="1"/>
  <c r="H58" i="12" s="1"/>
  <c r="H59" i="12" s="1"/>
  <c r="H60" i="12" s="1"/>
  <c r="H61" i="12" s="1"/>
  <c r="H62" i="12" s="1"/>
  <c r="J38" i="12"/>
  <c r="J39" i="12" s="1"/>
  <c r="J40" i="12" s="1"/>
  <c r="J41" i="12" s="1"/>
  <c r="J42" i="12" s="1"/>
  <c r="J43" i="12" s="1"/>
  <c r="J44" i="12" s="1"/>
  <c r="J45" i="12" s="1"/>
  <c r="J46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L38" i="12"/>
  <c r="L39" i="12" s="1"/>
  <c r="L40" i="12" s="1"/>
  <c r="L41" i="12" s="1"/>
  <c r="L42" i="12" s="1"/>
  <c r="L43" i="12" s="1"/>
  <c r="L44" i="12" s="1"/>
  <c r="L45" i="12" s="1"/>
  <c r="L46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N38" i="12"/>
  <c r="N39" i="12" s="1"/>
  <c r="N40" i="12" s="1"/>
  <c r="N41" i="12" s="1"/>
  <c r="N42" i="12" s="1"/>
  <c r="N43" i="12" s="1"/>
  <c r="N44" i="12" s="1"/>
  <c r="N45" i="12" s="1"/>
  <c r="N46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P38" i="12"/>
  <c r="P39" i="12" s="1"/>
  <c r="P40" i="12" s="1"/>
  <c r="P41" i="12" s="1"/>
  <c r="P42" i="12" s="1"/>
  <c r="P43" i="12" s="1"/>
  <c r="P44" i="12" s="1"/>
  <c r="P45" i="12" s="1"/>
  <c r="P46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R38" i="12"/>
  <c r="R39" i="12" s="1"/>
  <c r="R40" i="12" s="1"/>
  <c r="R41" i="12" s="1"/>
  <c r="R42" i="12" s="1"/>
  <c r="R43" i="12" s="1"/>
  <c r="R44" i="12" s="1"/>
  <c r="R45" i="12" s="1"/>
  <c r="R46" i="12" s="1"/>
  <c r="R51" i="12" s="1"/>
  <c r="R52" i="12" s="1"/>
  <c r="R53" i="12" s="1"/>
  <c r="R54" i="12" s="1"/>
  <c r="R55" i="12" s="1"/>
  <c r="R56" i="12" s="1"/>
  <c r="R57" i="12" s="1"/>
  <c r="R58" i="12" s="1"/>
  <c r="R59" i="12" s="1"/>
  <c r="R60" i="12" s="1"/>
  <c r="R61" i="12" s="1"/>
  <c r="R62" i="12" s="1"/>
  <c r="S38" i="12"/>
  <c r="S39" i="12" s="1"/>
  <c r="S40" i="12" s="1"/>
  <c r="S41" i="12" s="1"/>
  <c r="S42" i="12" s="1"/>
  <c r="S43" i="12" s="1"/>
  <c r="S44" i="12" s="1"/>
  <c r="S45" i="12" s="1"/>
  <c r="S46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T38" i="12"/>
  <c r="T39" i="12" s="1"/>
  <c r="T40" i="12" s="1"/>
  <c r="T41" i="12" s="1"/>
  <c r="T42" i="12" s="1"/>
  <c r="T43" i="12" s="1"/>
  <c r="T44" i="12" s="1"/>
  <c r="T45" i="12" s="1"/>
  <c r="T46" i="12" s="1"/>
  <c r="T51" i="12" s="1"/>
  <c r="T52" i="12" s="1"/>
  <c r="T53" i="12" s="1"/>
  <c r="T54" i="12" s="1"/>
  <c r="T55" i="12" s="1"/>
  <c r="T56" i="12" s="1"/>
  <c r="T57" i="12" s="1"/>
  <c r="T58" i="12" s="1"/>
  <c r="T59" i="12" s="1"/>
  <c r="T60" i="12" s="1"/>
  <c r="T61" i="12" s="1"/>
  <c r="T62" i="12" s="1"/>
  <c r="U38" i="12"/>
  <c r="U39" i="12" s="1"/>
  <c r="U40" i="12" s="1"/>
  <c r="U41" i="12" s="1"/>
  <c r="U42" i="12" s="1"/>
  <c r="U43" i="12" s="1"/>
  <c r="U44" i="12" s="1"/>
  <c r="U45" i="12" s="1"/>
  <c r="U46" i="12" s="1"/>
  <c r="U51" i="12" s="1"/>
  <c r="U52" i="12" s="1"/>
  <c r="U53" i="12" s="1"/>
  <c r="U54" i="12" s="1"/>
  <c r="U55" i="12" s="1"/>
  <c r="U56" i="12" s="1"/>
  <c r="U57" i="12" s="1"/>
  <c r="U58" i="12" s="1"/>
  <c r="U59" i="12" s="1"/>
  <c r="U60" i="12" s="1"/>
  <c r="U61" i="12" s="1"/>
  <c r="U62" i="12" s="1"/>
  <c r="V38" i="12"/>
  <c r="V39" i="12" s="1"/>
  <c r="V40" i="12" s="1"/>
  <c r="V41" i="12" s="1"/>
  <c r="V42" i="12" s="1"/>
  <c r="V43" i="12" s="1"/>
  <c r="V44" i="12" s="1"/>
  <c r="V45" i="12" s="1"/>
  <c r="V46" i="12" s="1"/>
  <c r="V51" i="12" s="1"/>
  <c r="V52" i="12" s="1"/>
  <c r="V53" i="12" s="1"/>
  <c r="V54" i="12" s="1"/>
  <c r="V55" i="12" s="1"/>
  <c r="V56" i="12" s="1"/>
  <c r="V57" i="12" s="1"/>
  <c r="V58" i="12" s="1"/>
  <c r="V59" i="12" s="1"/>
  <c r="V60" i="12" s="1"/>
  <c r="V61" i="12" s="1"/>
  <c r="V62" i="12" s="1"/>
  <c r="X38" i="12"/>
  <c r="X39" i="12" s="1"/>
  <c r="X40" i="12" s="1"/>
  <c r="X41" i="12" s="1"/>
  <c r="X42" i="12" s="1"/>
  <c r="X43" i="12" s="1"/>
  <c r="X44" i="12" s="1"/>
  <c r="X45" i="12" s="1"/>
  <c r="X46" i="12" s="1"/>
  <c r="X51" i="12" s="1"/>
  <c r="X52" i="12" s="1"/>
  <c r="X53" i="12" s="1"/>
  <c r="X54" i="12" s="1"/>
  <c r="X55" i="12" s="1"/>
  <c r="X56" i="12" s="1"/>
  <c r="X57" i="12" s="1"/>
  <c r="X58" i="12" s="1"/>
  <c r="X59" i="12" s="1"/>
  <c r="X60" i="12" s="1"/>
  <c r="X61" i="12" s="1"/>
  <c r="X62" i="12" s="1"/>
  <c r="Z38" i="12"/>
  <c r="Z39" i="12" s="1"/>
  <c r="Z40" i="12" s="1"/>
  <c r="Z41" i="12" s="1"/>
  <c r="Z42" i="12" s="1"/>
  <c r="Z43" i="12" s="1"/>
  <c r="Z44" i="12" s="1"/>
  <c r="Z45" i="12" s="1"/>
  <c r="Z46" i="12" s="1"/>
  <c r="Z51" i="12" s="1"/>
  <c r="Z52" i="12" s="1"/>
  <c r="Z53" i="12" s="1"/>
  <c r="Z54" i="12" s="1"/>
  <c r="Z55" i="12" s="1"/>
  <c r="Z56" i="12" s="1"/>
  <c r="Z57" i="12" s="1"/>
  <c r="Z58" i="12" s="1"/>
  <c r="Z59" i="12" s="1"/>
  <c r="Z60" i="12" s="1"/>
  <c r="Z61" i="12" s="1"/>
  <c r="Z62" i="12" s="1"/>
  <c r="AA38" i="12"/>
  <c r="AA39" i="12" s="1"/>
  <c r="AA40" i="12" s="1"/>
  <c r="AA41" i="12" s="1"/>
  <c r="AA42" i="12" s="1"/>
  <c r="AA43" i="12" s="1"/>
  <c r="AA44" i="12" s="1"/>
  <c r="AA45" i="12" s="1"/>
  <c r="AA46" i="12" s="1"/>
  <c r="AA51" i="12" s="1"/>
  <c r="AA52" i="12" s="1"/>
  <c r="AA53" i="12" s="1"/>
  <c r="AA54" i="12" s="1"/>
  <c r="AA55" i="12" s="1"/>
  <c r="AA56" i="12" s="1"/>
  <c r="AA57" i="12" s="1"/>
  <c r="AA58" i="12" s="1"/>
  <c r="AA59" i="12" s="1"/>
  <c r="AA60" i="12" s="1"/>
  <c r="AA61" i="12" s="1"/>
  <c r="AA62" i="12" s="1"/>
  <c r="AB38" i="12"/>
  <c r="AB39" i="12" s="1"/>
  <c r="AB40" i="12" s="1"/>
  <c r="AB41" i="12" s="1"/>
  <c r="AB42" i="12" s="1"/>
  <c r="AB43" i="12" s="1"/>
  <c r="AB44" i="12" s="1"/>
  <c r="AB45" i="12" s="1"/>
  <c r="AB46" i="12" s="1"/>
  <c r="E6" i="12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H6" i="12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J6" i="12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N6" i="12"/>
  <c r="N7" i="12" s="1"/>
  <c r="N8" i="12" s="1"/>
  <c r="N9" i="12" s="1"/>
  <c r="N10" i="12" s="1"/>
  <c r="N11" i="12" s="1"/>
  <c r="N12" i="12" s="1"/>
  <c r="N13" i="12" s="1"/>
  <c r="N14" i="12" s="1"/>
  <c r="N15" i="12" s="1"/>
  <c r="N16" i="12" s="1"/>
  <c r="P6" i="12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R6" i="12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S6" i="12"/>
  <c r="S7" i="12" s="1"/>
  <c r="S8" i="12" s="1"/>
  <c r="S9" i="12" s="1"/>
  <c r="S10" i="12" s="1"/>
  <c r="S11" i="12" s="1"/>
  <c r="S12" i="12" s="1"/>
  <c r="S13" i="12" s="1"/>
  <c r="S14" i="12" s="1"/>
  <c r="S15" i="12" s="1"/>
  <c r="S16" i="12" s="1"/>
  <c r="T6" i="12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U6" i="12"/>
  <c r="U7" i="12" s="1"/>
  <c r="U8" i="12" s="1"/>
  <c r="U9" i="12" s="1"/>
  <c r="U10" i="12" s="1"/>
  <c r="U11" i="12" s="1"/>
  <c r="U12" i="12" s="1"/>
  <c r="U13" i="12" s="1"/>
  <c r="U14" i="12" s="1"/>
  <c r="U15" i="12" s="1"/>
  <c r="U16" i="12" s="1"/>
  <c r="V6" i="12"/>
  <c r="V7" i="12" s="1"/>
  <c r="V8" i="12" s="1"/>
  <c r="V9" i="12" s="1"/>
  <c r="V10" i="12" s="1"/>
  <c r="V11" i="12" s="1"/>
  <c r="V12" i="12" s="1"/>
  <c r="V13" i="12" s="1"/>
  <c r="V14" i="12" s="1"/>
  <c r="V15" i="12" s="1"/>
  <c r="V16" i="12" s="1"/>
  <c r="W6" i="12"/>
  <c r="W7" i="12" s="1"/>
  <c r="W8" i="12" s="1"/>
  <c r="W9" i="12" s="1"/>
  <c r="W10" i="12" s="1"/>
  <c r="W11" i="12" s="1"/>
  <c r="W12" i="12" s="1"/>
  <c r="W13" i="12" s="1"/>
  <c r="W14" i="12" s="1"/>
  <c r="W15" i="12" s="1"/>
  <c r="W16" i="12" s="1"/>
  <c r="W21" i="12" s="1"/>
  <c r="W22" i="12" s="1"/>
  <c r="W23" i="12" s="1"/>
  <c r="W24" i="12" s="1"/>
  <c r="W25" i="12" s="1"/>
  <c r="W26" i="12" s="1"/>
  <c r="W27" i="12" s="1"/>
  <c r="W28" i="12" s="1"/>
  <c r="X6" i="12"/>
  <c r="X7" i="12" s="1"/>
  <c r="X8" i="12" s="1"/>
  <c r="X9" i="12" s="1"/>
  <c r="X10" i="12" s="1"/>
  <c r="X11" i="12" s="1"/>
  <c r="X12" i="12" s="1"/>
  <c r="X13" i="12" s="1"/>
  <c r="X14" i="12" s="1"/>
  <c r="X15" i="12" s="1"/>
  <c r="X16" i="12" s="1"/>
  <c r="X21" i="12" s="1"/>
  <c r="X22" i="12" s="1"/>
  <c r="X23" i="12" s="1"/>
  <c r="X24" i="12" s="1"/>
  <c r="X25" i="12" s="1"/>
  <c r="X26" i="12" s="1"/>
  <c r="X27" i="12" s="1"/>
  <c r="X28" i="12" s="1"/>
  <c r="Y6" i="12"/>
  <c r="Y7" i="12" s="1"/>
  <c r="Y8" i="12" s="1"/>
  <c r="Y9" i="12" s="1"/>
  <c r="Y10" i="12" s="1"/>
  <c r="Y11" i="12" s="1"/>
  <c r="Y12" i="12" s="1"/>
  <c r="Y13" i="12" s="1"/>
  <c r="Y14" i="12" s="1"/>
  <c r="Y15" i="12" s="1"/>
  <c r="Y16" i="12" s="1"/>
  <c r="Y21" i="12" s="1"/>
  <c r="Y22" i="12" s="1"/>
  <c r="Y23" i="12" s="1"/>
  <c r="Y24" i="12" s="1"/>
  <c r="Y25" i="12" s="1"/>
  <c r="Y26" i="12" s="1"/>
  <c r="Y27" i="12" s="1"/>
  <c r="Y28" i="12" s="1"/>
  <c r="D29" i="22"/>
  <c r="D30" i="22" s="1"/>
  <c r="D31" i="22" s="1"/>
  <c r="D32" i="22" s="1"/>
  <c r="D33" i="22" s="1"/>
  <c r="T21" i="22"/>
  <c r="D6" i="22"/>
  <c r="D7" i="22" s="1"/>
  <c r="D9" i="22" s="1"/>
  <c r="D10" i="22" s="1"/>
  <c r="D11" i="22" s="1"/>
  <c r="D12" i="22" s="1"/>
  <c r="D13" i="22" s="1"/>
  <c r="D14" i="22" s="1"/>
  <c r="X39" i="17" l="1"/>
  <c r="X40" i="17" s="1"/>
  <c r="X41" i="17" s="1"/>
  <c r="X42" i="17" s="1"/>
  <c r="X43" i="17" s="1"/>
  <c r="X44" i="17" s="1"/>
  <c r="X45" i="17" s="1"/>
  <c r="F39" i="17"/>
  <c r="F40" i="17" s="1"/>
  <c r="F41" i="17" s="1"/>
  <c r="F42" i="17" s="1"/>
  <c r="F43" i="17" s="1"/>
  <c r="F44" i="17" s="1"/>
  <c r="F45" i="17" s="1"/>
  <c r="T39" i="17"/>
  <c r="T40" i="17" s="1"/>
  <c r="T41" i="17" s="1"/>
  <c r="T42" i="17" s="1"/>
  <c r="T43" i="17" s="1"/>
  <c r="T44" i="17" s="1"/>
  <c r="T45" i="17" s="1"/>
  <c r="V39" i="17"/>
  <c r="V40" i="17" s="1"/>
  <c r="V41" i="17" s="1"/>
  <c r="V42" i="17" s="1"/>
  <c r="V43" i="17" s="1"/>
  <c r="V44" i="17" s="1"/>
  <c r="V45" i="17" s="1"/>
  <c r="R39" i="17"/>
  <c r="R40" i="17" s="1"/>
  <c r="R41" i="17" s="1"/>
  <c r="R42" i="17" s="1"/>
  <c r="R43" i="17" s="1"/>
  <c r="R44" i="17" s="1"/>
  <c r="R45" i="17" s="1"/>
  <c r="I39" i="17"/>
  <c r="I40" i="17" s="1"/>
  <c r="I41" i="17" s="1"/>
  <c r="I42" i="17" s="1"/>
  <c r="I43" i="17" s="1"/>
  <c r="I44" i="17" s="1"/>
  <c r="I45" i="17" s="1"/>
  <c r="P39" i="17"/>
  <c r="P40" i="17" s="1"/>
  <c r="P41" i="17" s="1"/>
  <c r="P42" i="17" s="1"/>
  <c r="P43" i="17" s="1"/>
  <c r="P44" i="17" s="1"/>
  <c r="P45" i="17" s="1"/>
  <c r="O39" i="17"/>
  <c r="O40" i="17" s="1"/>
  <c r="O41" i="17" s="1"/>
  <c r="O42" i="17" s="1"/>
  <c r="O43" i="17" s="1"/>
  <c r="O44" i="17" s="1"/>
  <c r="O45" i="17" s="1"/>
  <c r="M39" i="17"/>
  <c r="M40" i="17" s="1"/>
  <c r="M41" i="17" s="1"/>
  <c r="M42" i="17" s="1"/>
  <c r="M43" i="17" s="1"/>
  <c r="M44" i="17" s="1"/>
  <c r="M45" i="17" s="1"/>
  <c r="L39" i="17"/>
  <c r="L40" i="17" s="1"/>
  <c r="L41" i="17" s="1"/>
  <c r="L42" i="17" s="1"/>
  <c r="L43" i="17" s="1"/>
  <c r="L44" i="17" s="1"/>
  <c r="L45" i="17" s="1"/>
  <c r="K39" i="17"/>
  <c r="K40" i="17" s="1"/>
  <c r="K41" i="17" s="1"/>
  <c r="K42" i="17" s="1"/>
  <c r="K43" i="17" s="1"/>
  <c r="K44" i="17" s="1"/>
  <c r="K45" i="17" s="1"/>
  <c r="J39" i="17"/>
  <c r="J40" i="17" s="1"/>
  <c r="J41" i="17" s="1"/>
  <c r="J42" i="17" s="1"/>
  <c r="J43" i="17" s="1"/>
  <c r="J44" i="17" s="1"/>
  <c r="J45" i="17" s="1"/>
  <c r="H21" i="12"/>
  <c r="H22" i="12" s="1"/>
  <c r="H23" i="12" s="1"/>
  <c r="H24" i="12" s="1"/>
  <c r="H25" i="12" s="1"/>
  <c r="H26" i="12" s="1"/>
  <c r="H27" i="12" s="1"/>
  <c r="H28" i="12" s="1"/>
  <c r="F21" i="12"/>
  <c r="F22" i="12" s="1"/>
  <c r="F23" i="12" s="1"/>
  <c r="F24" i="12" s="1"/>
  <c r="F25" i="12" s="1"/>
  <c r="F26" i="12" s="1"/>
  <c r="F27" i="12" s="1"/>
  <c r="F28" i="12" s="1"/>
  <c r="E21" i="12"/>
  <c r="E22" i="12" s="1"/>
  <c r="E23" i="12" s="1"/>
  <c r="E24" i="12" s="1"/>
  <c r="E25" i="12" s="1"/>
  <c r="E26" i="12" s="1"/>
  <c r="E27" i="12" s="1"/>
  <c r="E28" i="12" s="1"/>
  <c r="J21" i="12"/>
  <c r="J22" i="12" s="1"/>
  <c r="J23" i="12" s="1"/>
  <c r="J24" i="12" s="1"/>
  <c r="J25" i="12" s="1"/>
  <c r="J26" i="12" s="1"/>
  <c r="J27" i="12" s="1"/>
  <c r="J28" i="12" s="1"/>
  <c r="V21" i="12"/>
  <c r="V22" i="12" s="1"/>
  <c r="V23" i="12" s="1"/>
  <c r="V24" i="12" s="1"/>
  <c r="V25" i="12" s="1"/>
  <c r="V26" i="12" s="1"/>
  <c r="V27" i="12" s="1"/>
  <c r="V28" i="12" s="1"/>
  <c r="U21" i="12"/>
  <c r="U22" i="12" s="1"/>
  <c r="U23" i="12" s="1"/>
  <c r="U24" i="12" s="1"/>
  <c r="U25" i="12" s="1"/>
  <c r="U26" i="12" s="1"/>
  <c r="U27" i="12" s="1"/>
  <c r="U28" i="12" s="1"/>
  <c r="T21" i="12"/>
  <c r="T22" i="12" s="1"/>
  <c r="T23" i="12" s="1"/>
  <c r="T24" i="12" s="1"/>
  <c r="T25" i="12" s="1"/>
  <c r="T26" i="12" s="1"/>
  <c r="T27" i="12" s="1"/>
  <c r="T28" i="12" s="1"/>
  <c r="S21" i="12"/>
  <c r="S22" i="12" s="1"/>
  <c r="S23" i="12" s="1"/>
  <c r="S24" i="12" s="1"/>
  <c r="S25" i="12" s="1"/>
  <c r="S26" i="12" s="1"/>
  <c r="S27" i="12" s="1"/>
  <c r="S28" i="12" s="1"/>
  <c r="R21" i="12"/>
  <c r="R22" i="12" s="1"/>
  <c r="R23" i="12" s="1"/>
  <c r="R24" i="12" s="1"/>
  <c r="R25" i="12" s="1"/>
  <c r="R26" i="12" s="1"/>
  <c r="R27" i="12" s="1"/>
  <c r="R28" i="12" s="1"/>
  <c r="P21" i="12"/>
  <c r="P22" i="12" s="1"/>
  <c r="P23" i="12" s="1"/>
  <c r="P24" i="12" s="1"/>
  <c r="P25" i="12" s="1"/>
  <c r="P26" i="12" s="1"/>
  <c r="P27" i="12" s="1"/>
  <c r="P28" i="12" s="1"/>
  <c r="N21" i="12"/>
  <c r="N22" i="12" s="1"/>
  <c r="N23" i="12" s="1"/>
  <c r="N24" i="12" s="1"/>
  <c r="N25" i="12" s="1"/>
  <c r="N26" i="12" s="1"/>
  <c r="N27" i="12" s="1"/>
  <c r="N28" i="12" s="1"/>
  <c r="L21" i="12"/>
  <c r="L22" i="12" s="1"/>
  <c r="L23" i="12" s="1"/>
  <c r="L24" i="12" s="1"/>
  <c r="L25" i="12" s="1"/>
  <c r="L26" i="12" s="1"/>
  <c r="L27" i="12" s="1"/>
  <c r="L28" i="12" s="1"/>
  <c r="D11" i="17"/>
  <c r="G10" i="18"/>
  <c r="G11" i="18" s="1"/>
  <c r="G12" i="18" s="1"/>
  <c r="G13" i="18" s="1"/>
  <c r="G14" i="18" s="1"/>
  <c r="G15" i="18" s="1"/>
  <c r="G19" i="18" s="1"/>
  <c r="D15" i="22"/>
  <c r="D16" i="22" s="1"/>
  <c r="D17" i="22" s="1"/>
  <c r="D18" i="22" s="1"/>
  <c r="D19" i="22" s="1"/>
  <c r="D20" i="22" s="1"/>
  <c r="AJ43" i="18"/>
  <c r="E29" i="18"/>
  <c r="D29" i="18"/>
  <c r="D18" i="17" l="1"/>
  <c r="D19" i="17" s="1"/>
  <c r="D30" i="18"/>
  <c r="D31" i="18" s="1"/>
  <c r="D32" i="18" s="1"/>
  <c r="D33" i="18" s="1"/>
  <c r="D34" i="18" s="1"/>
  <c r="D35" i="18" s="1"/>
  <c r="E30" i="18"/>
  <c r="E31" i="18" s="1"/>
  <c r="E32" i="18" s="1"/>
  <c r="E33" i="18" s="1"/>
  <c r="E34" i="18" s="1"/>
  <c r="E35" i="18" s="1"/>
  <c r="D27" i="1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F27" i="1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H27" i="1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J27" i="11"/>
  <c r="J28" i="11" s="1"/>
  <c r="J29" i="11" s="1"/>
  <c r="J30" i="11" s="1"/>
  <c r="J31" i="11" s="1"/>
  <c r="J32" i="11" s="1"/>
  <c r="J33" i="11" s="1"/>
  <c r="J34" i="11" s="1"/>
  <c r="J35" i="11" s="1"/>
  <c r="AC63" i="12" l="1"/>
  <c r="Z29" i="12" l="1"/>
  <c r="U46" i="14"/>
  <c r="U50" i="14" s="1"/>
  <c r="U51" i="14" s="1"/>
  <c r="U52" i="14" s="1"/>
  <c r="U53" i="14" s="1"/>
  <c r="U54" i="14" s="1"/>
  <c r="U55" i="14" s="1"/>
  <c r="U56" i="14" s="1"/>
  <c r="F46" i="14"/>
  <c r="F50" i="14" s="1"/>
  <c r="F51" i="14" s="1"/>
  <c r="F52" i="14" s="1"/>
  <c r="F53" i="14" s="1"/>
  <c r="F54" i="14" s="1"/>
  <c r="F55" i="14" s="1"/>
  <c r="F56" i="14" s="1"/>
  <c r="G46" i="14"/>
  <c r="G50" i="14" s="1"/>
  <c r="G51" i="14" s="1"/>
  <c r="G52" i="14" s="1"/>
  <c r="G53" i="14" s="1"/>
  <c r="G54" i="14" s="1"/>
  <c r="G55" i="14" s="1"/>
  <c r="G56" i="14" s="1"/>
  <c r="H46" i="14"/>
  <c r="H50" i="14" s="1"/>
  <c r="H51" i="14" s="1"/>
  <c r="H52" i="14" s="1"/>
  <c r="H53" i="14" s="1"/>
  <c r="H54" i="14" s="1"/>
  <c r="H55" i="14" s="1"/>
  <c r="H56" i="14" s="1"/>
  <c r="I46" i="14"/>
  <c r="I50" i="14" s="1"/>
  <c r="I51" i="14" s="1"/>
  <c r="I52" i="14" s="1"/>
  <c r="I53" i="14" s="1"/>
  <c r="I54" i="14" s="1"/>
  <c r="I55" i="14" s="1"/>
  <c r="I56" i="14" s="1"/>
  <c r="J46" i="14"/>
  <c r="J50" i="14" s="1"/>
  <c r="J51" i="14" s="1"/>
  <c r="J52" i="14" s="1"/>
  <c r="J53" i="14" s="1"/>
  <c r="J54" i="14" s="1"/>
  <c r="J55" i="14" s="1"/>
  <c r="J56" i="14" s="1"/>
  <c r="K46" i="14"/>
  <c r="K50" i="14" s="1"/>
  <c r="K51" i="14" s="1"/>
  <c r="K52" i="14" s="1"/>
  <c r="K53" i="14" s="1"/>
  <c r="K54" i="14" s="1"/>
  <c r="K55" i="14" s="1"/>
  <c r="K56" i="14" s="1"/>
  <c r="L46" i="14"/>
  <c r="L50" i="14" s="1"/>
  <c r="L51" i="14" s="1"/>
  <c r="L52" i="14" s="1"/>
  <c r="L53" i="14" s="1"/>
  <c r="L54" i="14" s="1"/>
  <c r="L55" i="14" s="1"/>
  <c r="L56" i="14" s="1"/>
  <c r="M46" i="14"/>
  <c r="M50" i="14" s="1"/>
  <c r="M51" i="14" s="1"/>
  <c r="M52" i="14" s="1"/>
  <c r="M53" i="14" s="1"/>
  <c r="M54" i="14" s="1"/>
  <c r="M55" i="14" s="1"/>
  <c r="M56" i="14" s="1"/>
  <c r="N46" i="14"/>
  <c r="N50" i="14" s="1"/>
  <c r="N51" i="14" s="1"/>
  <c r="N52" i="14" s="1"/>
  <c r="N53" i="14" s="1"/>
  <c r="N54" i="14" s="1"/>
  <c r="N55" i="14" s="1"/>
  <c r="N56" i="14" s="1"/>
  <c r="O46" i="14"/>
  <c r="O50" i="14" s="1"/>
  <c r="O51" i="14" s="1"/>
  <c r="O52" i="14" s="1"/>
  <c r="O53" i="14" s="1"/>
  <c r="O54" i="14" s="1"/>
  <c r="O55" i="14" s="1"/>
  <c r="O56" i="14" s="1"/>
  <c r="P46" i="14"/>
  <c r="P50" i="14" s="1"/>
  <c r="P51" i="14" s="1"/>
  <c r="P52" i="14" s="1"/>
  <c r="P53" i="14" s="1"/>
  <c r="P54" i="14" s="1"/>
  <c r="P55" i="14" s="1"/>
  <c r="P56" i="14" s="1"/>
  <c r="Q46" i="14"/>
  <c r="Q50" i="14" s="1"/>
  <c r="Q51" i="14" s="1"/>
  <c r="Q52" i="14" s="1"/>
  <c r="Q53" i="14" s="1"/>
  <c r="Q54" i="14" s="1"/>
  <c r="Q55" i="14" s="1"/>
  <c r="Q56" i="14" s="1"/>
  <c r="R46" i="14"/>
  <c r="R50" i="14" s="1"/>
  <c r="R51" i="14" s="1"/>
  <c r="R52" i="14" s="1"/>
  <c r="R53" i="14" s="1"/>
  <c r="R54" i="14" s="1"/>
  <c r="R55" i="14" s="1"/>
  <c r="R56" i="14" s="1"/>
  <c r="S46" i="14"/>
  <c r="S50" i="14" s="1"/>
  <c r="S51" i="14" s="1"/>
  <c r="S52" i="14" s="1"/>
  <c r="S53" i="14" s="1"/>
  <c r="S54" i="14" s="1"/>
  <c r="S55" i="14" s="1"/>
  <c r="S56" i="14" s="1"/>
  <c r="E46" i="14"/>
  <c r="E50" i="14" s="1"/>
  <c r="E51" i="14" s="1"/>
  <c r="E52" i="14" s="1"/>
  <c r="E11" i="14"/>
  <c r="E12" i="14" s="1"/>
  <c r="E13" i="14" s="1"/>
  <c r="E14" i="14" s="1"/>
  <c r="E15" i="14" s="1"/>
  <c r="E16" i="14" s="1"/>
  <c r="E21" i="14" s="1"/>
  <c r="F11" i="14"/>
  <c r="F12" i="14" s="1"/>
  <c r="F13" i="14" s="1"/>
  <c r="F14" i="14" s="1"/>
  <c r="F15" i="14" s="1"/>
  <c r="F16" i="14" s="1"/>
  <c r="F21" i="14" s="1"/>
  <c r="G11" i="14"/>
  <c r="G12" i="14" s="1"/>
  <c r="G13" i="14" s="1"/>
  <c r="G14" i="14" s="1"/>
  <c r="G15" i="14" s="1"/>
  <c r="G16" i="14" s="1"/>
  <c r="G21" i="14" s="1"/>
  <c r="H11" i="14"/>
  <c r="H12" i="14" s="1"/>
  <c r="H13" i="14" s="1"/>
  <c r="H14" i="14" s="1"/>
  <c r="H15" i="14" s="1"/>
  <c r="H16" i="14" s="1"/>
  <c r="H21" i="14" s="1"/>
  <c r="I11" i="14"/>
  <c r="I12" i="14" s="1"/>
  <c r="I13" i="14" s="1"/>
  <c r="I14" i="14" s="1"/>
  <c r="I15" i="14" s="1"/>
  <c r="I16" i="14" s="1"/>
  <c r="I21" i="14" s="1"/>
  <c r="J11" i="14"/>
  <c r="J12" i="14" s="1"/>
  <c r="J13" i="14" s="1"/>
  <c r="J14" i="14" s="1"/>
  <c r="J15" i="14" s="1"/>
  <c r="J16" i="14" s="1"/>
  <c r="J21" i="14" s="1"/>
  <c r="K11" i="14"/>
  <c r="K12" i="14" s="1"/>
  <c r="K13" i="14" s="1"/>
  <c r="K14" i="14" s="1"/>
  <c r="K15" i="14" s="1"/>
  <c r="K16" i="14" s="1"/>
  <c r="K21" i="14" s="1"/>
  <c r="L11" i="14"/>
  <c r="L12" i="14" s="1"/>
  <c r="L13" i="14" s="1"/>
  <c r="L14" i="14" s="1"/>
  <c r="L15" i="14" s="1"/>
  <c r="L16" i="14" s="1"/>
  <c r="L21" i="14" s="1"/>
  <c r="M11" i="14"/>
  <c r="M12" i="14" s="1"/>
  <c r="M13" i="14" s="1"/>
  <c r="M14" i="14" s="1"/>
  <c r="M15" i="14" s="1"/>
  <c r="M16" i="14" s="1"/>
  <c r="M21" i="14" s="1"/>
  <c r="N11" i="14"/>
  <c r="N12" i="14" s="1"/>
  <c r="N13" i="14" s="1"/>
  <c r="N14" i="14" s="1"/>
  <c r="N15" i="14" s="1"/>
  <c r="N16" i="14" s="1"/>
  <c r="N21" i="14" s="1"/>
  <c r="O11" i="14"/>
  <c r="O12" i="14" s="1"/>
  <c r="O13" i="14" s="1"/>
  <c r="O14" i="14" s="1"/>
  <c r="O15" i="14" s="1"/>
  <c r="O16" i="14" s="1"/>
  <c r="O21" i="14" s="1"/>
  <c r="P11" i="14"/>
  <c r="P12" i="14" s="1"/>
  <c r="P13" i="14" s="1"/>
  <c r="P14" i="14" s="1"/>
  <c r="P15" i="14" s="1"/>
  <c r="P16" i="14" s="1"/>
  <c r="P21" i="14" s="1"/>
  <c r="Q11" i="14"/>
  <c r="Q12" i="14" s="1"/>
  <c r="Q13" i="14" s="1"/>
  <c r="Q14" i="14" s="1"/>
  <c r="Q15" i="14" s="1"/>
  <c r="Q16" i="14" s="1"/>
  <c r="Q21" i="14" s="1"/>
  <c r="R11" i="14"/>
  <c r="R12" i="14" s="1"/>
  <c r="R13" i="14" s="1"/>
  <c r="R14" i="14" s="1"/>
  <c r="R15" i="14" s="1"/>
  <c r="R16" i="14" s="1"/>
  <c r="R21" i="14" s="1"/>
  <c r="S11" i="14"/>
  <c r="S12" i="14" s="1"/>
  <c r="S13" i="14" s="1"/>
  <c r="S14" i="14" s="1"/>
  <c r="S15" i="14" s="1"/>
  <c r="S16" i="14" s="1"/>
  <c r="S21" i="14" s="1"/>
  <c r="T11" i="14"/>
  <c r="T12" i="14" s="1"/>
  <c r="T13" i="14" s="1"/>
  <c r="T14" i="14" s="1"/>
  <c r="T15" i="14" s="1"/>
  <c r="T16" i="14" s="1"/>
  <c r="T21" i="14" s="1"/>
  <c r="U11" i="14"/>
  <c r="U12" i="14" s="1"/>
  <c r="U13" i="14" s="1"/>
  <c r="U14" i="14" s="1"/>
  <c r="U15" i="14" s="1"/>
  <c r="U16" i="14" s="1"/>
  <c r="U21" i="14" s="1"/>
  <c r="D11" i="14"/>
  <c r="G33" i="15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7" i="15" s="1"/>
  <c r="G48" i="15" s="1"/>
  <c r="E33" i="15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7" i="15" s="1"/>
  <c r="E48" i="15" s="1"/>
  <c r="H10" i="15"/>
  <c r="H11" i="15" s="1"/>
  <c r="H12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G6" i="15"/>
  <c r="G7" i="15" s="1"/>
  <c r="G9" i="15" s="1"/>
  <c r="G10" i="15" s="1"/>
  <c r="G11" i="15" s="1"/>
  <c r="G12" i="15" s="1"/>
  <c r="G14" i="15" s="1"/>
  <c r="G15" i="15" s="1"/>
  <c r="F10" i="15"/>
  <c r="F11" i="15" s="1"/>
  <c r="F12" i="15" s="1"/>
  <c r="F14" i="15" s="1"/>
  <c r="U27" i="11"/>
  <c r="U28" i="11" s="1"/>
  <c r="U29" i="11" s="1"/>
  <c r="U30" i="11" s="1"/>
  <c r="U31" i="11" s="1"/>
  <c r="U32" i="11" s="1"/>
  <c r="U33" i="11" s="1"/>
  <c r="U34" i="11" s="1"/>
  <c r="U35" i="11" s="1"/>
  <c r="V27" i="1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W27" i="11"/>
  <c r="W28" i="11" s="1"/>
  <c r="W29" i="11" s="1"/>
  <c r="W30" i="11" s="1"/>
  <c r="W31" i="11" s="1"/>
  <c r="W32" i="11" s="1"/>
  <c r="W33" i="11" s="1"/>
  <c r="W34" i="11" s="1"/>
  <c r="W35" i="11" s="1"/>
  <c r="Y27" i="11"/>
  <c r="Y28" i="11" s="1"/>
  <c r="Y29" i="11" s="1"/>
  <c r="Y30" i="11" s="1"/>
  <c r="Y31" i="11" s="1"/>
  <c r="Y32" i="11" s="1"/>
  <c r="Y33" i="11" s="1"/>
  <c r="Y34" i="11" s="1"/>
  <c r="Y35" i="11" s="1"/>
  <c r="Z27" i="11"/>
  <c r="Z28" i="11" s="1"/>
  <c r="Z29" i="11" s="1"/>
  <c r="Z30" i="11" s="1"/>
  <c r="Z31" i="11" s="1"/>
  <c r="Z32" i="11" s="1"/>
  <c r="Z33" i="11" s="1"/>
  <c r="Z34" i="11" s="1"/>
  <c r="Z35" i="11" s="1"/>
  <c r="AA27" i="11"/>
  <c r="AA28" i="11" s="1"/>
  <c r="AA29" i="11" s="1"/>
  <c r="AA30" i="11" s="1"/>
  <c r="AA31" i="11" s="1"/>
  <c r="AA32" i="11" s="1"/>
  <c r="AA33" i="11" s="1"/>
  <c r="AA34" i="11" s="1"/>
  <c r="AA35" i="11" s="1"/>
  <c r="D11" i="11"/>
  <c r="D12" i="11" s="1"/>
  <c r="D13" i="11" s="1"/>
  <c r="D14" i="11" s="1"/>
  <c r="D15" i="11" s="1"/>
  <c r="D16" i="11" s="1"/>
  <c r="D17" i="11" s="1"/>
  <c r="D18" i="11" s="1"/>
  <c r="F10" i="11"/>
  <c r="F11" i="11" s="1"/>
  <c r="F12" i="11" s="1"/>
  <c r="F13" i="11" s="1"/>
  <c r="F14" i="11" s="1"/>
  <c r="F15" i="11" s="1"/>
  <c r="F16" i="11" s="1"/>
  <c r="F17" i="11" s="1"/>
  <c r="F18" i="11" s="1"/>
  <c r="H10" i="11"/>
  <c r="H11" i="11" s="1"/>
  <c r="H12" i="11" s="1"/>
  <c r="H13" i="11" s="1"/>
  <c r="H14" i="11" s="1"/>
  <c r="H15" i="11" s="1"/>
  <c r="H16" i="11" s="1"/>
  <c r="H17" i="11" s="1"/>
  <c r="H18" i="11" s="1"/>
  <c r="J10" i="11"/>
  <c r="J11" i="11" s="1"/>
  <c r="J12" i="11" s="1"/>
  <c r="J13" i="11" s="1"/>
  <c r="J14" i="11" s="1"/>
  <c r="J15" i="11" s="1"/>
  <c r="J16" i="11" s="1"/>
  <c r="J17" i="11" s="1"/>
  <c r="J18" i="11" s="1"/>
  <c r="M10" i="11"/>
  <c r="M11" i="11" s="1"/>
  <c r="M12" i="11" s="1"/>
  <c r="M13" i="11" s="1"/>
  <c r="M14" i="11" s="1"/>
  <c r="M15" i="11" s="1"/>
  <c r="M16" i="11" s="1"/>
  <c r="M17" i="11" s="1"/>
  <c r="M18" i="11" s="1"/>
  <c r="K10" i="11"/>
  <c r="K11" i="11" s="1"/>
  <c r="K12" i="11" s="1"/>
  <c r="K13" i="11" s="1"/>
  <c r="K14" i="11" s="1"/>
  <c r="K15" i="11" s="1"/>
  <c r="K16" i="11" s="1"/>
  <c r="K17" i="11" s="1"/>
  <c r="K18" i="11" s="1"/>
  <c r="L10" i="11"/>
  <c r="L11" i="11" s="1"/>
  <c r="L12" i="11" s="1"/>
  <c r="L13" i="11" s="1"/>
  <c r="L14" i="11" s="1"/>
  <c r="L15" i="11" s="1"/>
  <c r="L16" i="11" s="1"/>
  <c r="L17" i="11" s="1"/>
  <c r="L18" i="11" s="1"/>
  <c r="N10" i="11"/>
  <c r="N11" i="11" s="1"/>
  <c r="N12" i="11" s="1"/>
  <c r="N13" i="11" s="1"/>
  <c r="N14" i="11" s="1"/>
  <c r="N15" i="11" s="1"/>
  <c r="N16" i="11" s="1"/>
  <c r="N17" i="11" s="1"/>
  <c r="N18" i="11" s="1"/>
  <c r="G16" i="15" l="1"/>
  <c r="F15" i="15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C63" i="14"/>
  <c r="G17" i="15" l="1"/>
  <c r="G18" i="15" s="1"/>
  <c r="G19" i="15" s="1"/>
  <c r="G21" i="15" s="1"/>
  <c r="G22" i="15" s="1"/>
  <c r="G23" i="15" s="1"/>
  <c r="G24" i="15" s="1"/>
  <c r="G25" i="15" s="1"/>
  <c r="AI40" i="19" l="1"/>
  <c r="J26" i="15"/>
  <c r="AC40" i="11"/>
  <c r="Z19" i="11"/>
  <c r="S27" i="11"/>
  <c r="S28" i="11" s="1"/>
  <c r="S29" i="11" s="1"/>
  <c r="S30" i="11" s="1"/>
  <c r="S31" i="11" s="1"/>
  <c r="S32" i="11" s="1"/>
  <c r="S33" i="11" s="1"/>
  <c r="S34" i="11" s="1"/>
  <c r="S35" i="11" s="1"/>
  <c r="R27" i="11"/>
  <c r="R28" i="11" s="1"/>
  <c r="R29" i="11" s="1"/>
  <c r="R30" i="11" s="1"/>
  <c r="R31" i="11" s="1"/>
  <c r="R32" i="11" s="1"/>
  <c r="R33" i="11" s="1"/>
  <c r="R34" i="11" s="1"/>
  <c r="R35" i="11" s="1"/>
  <c r="R36" i="11" s="1"/>
  <c r="R37" i="11" s="1"/>
  <c r="R38" i="11" s="1"/>
  <c r="R39" i="11" s="1"/>
  <c r="T27" i="1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X10" i="11"/>
  <c r="X11" i="11" s="1"/>
  <c r="X12" i="11" s="1"/>
  <c r="X13" i="11" s="1"/>
  <c r="X14" i="11" s="1"/>
  <c r="X15" i="11" s="1"/>
  <c r="X16" i="11" s="1"/>
  <c r="X17" i="11" s="1"/>
  <c r="X18" i="11" s="1"/>
  <c r="T46" i="14"/>
  <c r="T50" i="14" s="1"/>
  <c r="T51" i="14" s="1"/>
  <c r="T52" i="14" s="1"/>
  <c r="T53" i="14" s="1"/>
  <c r="T54" i="14" s="1"/>
  <c r="T55" i="14" s="1"/>
  <c r="T56" i="14" s="1"/>
  <c r="O10" i="11"/>
  <c r="O11" i="11" s="1"/>
  <c r="O12" i="11" s="1"/>
  <c r="O13" i="11" s="1"/>
  <c r="O14" i="11" s="1"/>
  <c r="O15" i="11" s="1"/>
  <c r="O16" i="11" s="1"/>
  <c r="O17" i="11" s="1"/>
  <c r="O18" i="11" s="1"/>
  <c r="T10" i="11"/>
  <c r="T11" i="11" s="1"/>
  <c r="T12" i="11" s="1"/>
  <c r="T13" i="11" s="1"/>
  <c r="T14" i="11" s="1"/>
  <c r="T15" i="11" s="1"/>
  <c r="T16" i="11" s="1"/>
  <c r="T17" i="11" s="1"/>
  <c r="T18" i="11" s="1"/>
  <c r="L27" i="11"/>
  <c r="L28" i="11" s="1"/>
  <c r="L29" i="11" s="1"/>
  <c r="L30" i="11" s="1"/>
  <c r="L31" i="11" s="1"/>
  <c r="L32" i="11" s="1"/>
  <c r="L33" i="11" s="1"/>
  <c r="L34" i="11" s="1"/>
  <c r="L35" i="11" s="1"/>
  <c r="M27" i="11"/>
  <c r="M28" i="11" s="1"/>
  <c r="M29" i="11" s="1"/>
  <c r="M30" i="11" s="1"/>
  <c r="M31" i="11" s="1"/>
  <c r="M32" i="11" s="1"/>
  <c r="M33" i="11" s="1"/>
  <c r="M34" i="11" s="1"/>
  <c r="M35" i="11" s="1"/>
  <c r="V10" i="11" l="1"/>
  <c r="V11" i="11" s="1"/>
  <c r="V12" i="11" s="1"/>
  <c r="V13" i="11" s="1"/>
  <c r="V14" i="11" s="1"/>
  <c r="V15" i="11" s="1"/>
  <c r="V16" i="11" s="1"/>
  <c r="V17" i="11" s="1"/>
  <c r="V18" i="11" s="1"/>
  <c r="P10" i="11"/>
  <c r="P11" i="11" s="1"/>
  <c r="P12" i="11" s="1"/>
  <c r="P13" i="11" s="1"/>
  <c r="P14" i="11" s="1"/>
  <c r="P15" i="11" s="1"/>
  <c r="P16" i="11" s="1"/>
  <c r="P17" i="11" s="1"/>
  <c r="P18" i="11" s="1"/>
  <c r="R10" i="11"/>
  <c r="R11" i="11" s="1"/>
  <c r="R12" i="11" s="1"/>
  <c r="R13" i="11" s="1"/>
  <c r="R14" i="11" s="1"/>
  <c r="R15" i="11" s="1"/>
  <c r="R16" i="11" s="1"/>
  <c r="R17" i="11" s="1"/>
  <c r="R18" i="11" s="1"/>
  <c r="N27" i="11" l="1"/>
  <c r="N28" i="11" s="1"/>
  <c r="N29" i="11" s="1"/>
  <c r="N30" i="11" s="1"/>
  <c r="N31" i="11" s="1"/>
  <c r="N32" i="11" s="1"/>
  <c r="N33" i="11" s="1"/>
  <c r="N34" i="11" s="1"/>
  <c r="N35" i="11" s="1"/>
  <c r="O27" i="11" l="1"/>
  <c r="O28" i="11" s="1"/>
  <c r="O29" i="11" s="1"/>
  <c r="O30" i="11" s="1"/>
  <c r="O31" i="11" s="1"/>
  <c r="O32" i="11" s="1"/>
  <c r="O33" i="11" s="1"/>
  <c r="O34" i="11" s="1"/>
  <c r="O35" i="11" s="1"/>
  <c r="P27" i="11" l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Q27" i="11" l="1"/>
  <c r="Q28" i="11" s="1"/>
  <c r="Q29" i="11" s="1"/>
  <c r="Q30" i="11" s="1"/>
  <c r="Q31" i="11" s="1"/>
  <c r="Q32" i="11" s="1"/>
  <c r="Q33" i="11" s="1"/>
  <c r="Q34" i="11" s="1"/>
  <c r="Q35" i="11" s="1"/>
  <c r="K27" i="11" l="1"/>
  <c r="K28" i="11" s="1"/>
  <c r="K29" i="11" s="1"/>
  <c r="K30" i="11" s="1"/>
  <c r="K31" i="11" s="1"/>
  <c r="K32" i="11" s="1"/>
  <c r="K33" i="11" s="1"/>
  <c r="K34" i="11" s="1"/>
  <c r="K35" i="11" s="1"/>
  <c r="E26" i="19" l="1"/>
  <c r="E27" i="19" s="1"/>
  <c r="E30" i="19" s="1"/>
  <c r="E31" i="19" s="1"/>
  <c r="E6" i="19"/>
  <c r="E7" i="19" l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P26" i="19"/>
  <c r="P27" i="19" s="1"/>
  <c r="P30" i="19" s="1"/>
  <c r="P31" i="19" s="1"/>
  <c r="P32" i="19" s="1"/>
  <c r="P33" i="19" s="1"/>
  <c r="P34" i="19" s="1"/>
  <c r="P35" i="19" s="1"/>
  <c r="P36" i="19" s="1"/>
  <c r="P37" i="19" s="1"/>
  <c r="P38" i="19" s="1"/>
  <c r="P39" i="19" s="1"/>
  <c r="E32" i="19"/>
  <c r="E33" i="19" s="1"/>
  <c r="E34" i="19" s="1"/>
  <c r="E35" i="19" s="1"/>
  <c r="E36" i="19" s="1"/>
  <c r="E37" i="19" s="1"/>
  <c r="E38" i="19" s="1"/>
  <c r="E39" i="19" s="1"/>
  <c r="Q26" i="19" l="1"/>
  <c r="Q27" i="19" s="1"/>
  <c r="Q30" i="19" s="1"/>
  <c r="Q31" i="19" s="1"/>
  <c r="Q32" i="19" s="1"/>
  <c r="Q33" i="19" s="1"/>
  <c r="Q34" i="19" s="1"/>
  <c r="Q35" i="19" s="1"/>
  <c r="Q36" i="19" s="1"/>
  <c r="Q37" i="19" s="1"/>
  <c r="Q38" i="19" s="1"/>
  <c r="Q39" i="19" s="1"/>
  <c r="F33" i="15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7" i="15" s="1"/>
  <c r="F48" i="15" s="1"/>
  <c r="R26" i="19" l="1"/>
  <c r="R27" i="19" s="1"/>
  <c r="R30" i="19" s="1"/>
  <c r="R31" i="19" s="1"/>
  <c r="R32" i="19" s="1"/>
  <c r="R33" i="19" s="1"/>
  <c r="R34" i="19" s="1"/>
  <c r="R35" i="19" s="1"/>
  <c r="R36" i="19" s="1"/>
  <c r="R37" i="19" s="1"/>
  <c r="R38" i="19" s="1"/>
  <c r="R39" i="19" s="1"/>
  <c r="S26" i="19"/>
  <c r="S27" i="19" s="1"/>
  <c r="S30" i="19" s="1"/>
  <c r="S31" i="19" s="1"/>
  <c r="S32" i="19" s="1"/>
  <c r="S33" i="19" s="1"/>
  <c r="S34" i="19" s="1"/>
  <c r="S35" i="19" s="1"/>
  <c r="S36" i="19" s="1"/>
  <c r="S37" i="19" s="1"/>
  <c r="S38" i="19" s="1"/>
  <c r="S39" i="19" s="1"/>
  <c r="AP20" i="18"/>
  <c r="AB59" i="17" l="1"/>
  <c r="D38" i="17"/>
  <c r="D39" i="17" s="1"/>
  <c r="D20" i="17"/>
  <c r="D21" i="17" s="1"/>
  <c r="D22" i="17" s="1"/>
  <c r="D23" i="17" s="1"/>
  <c r="D24" i="17" s="1"/>
  <c r="D25" i="17" s="1"/>
  <c r="D26" i="17" s="1"/>
  <c r="D29" i="17" s="1"/>
  <c r="E53" i="14"/>
  <c r="E54" i="14" s="1"/>
  <c r="E55" i="14" s="1"/>
  <c r="V11" i="14"/>
  <c r="V12" i="14" s="1"/>
  <c r="V13" i="14" s="1"/>
  <c r="V14" i="14" s="1"/>
  <c r="V15" i="14" s="1"/>
  <c r="V16" i="14" s="1"/>
  <c r="V21" i="14" s="1"/>
  <c r="D12" i="14"/>
  <c r="D13" i="14" s="1"/>
  <c r="D40" i="17" l="1"/>
  <c r="D41" i="17" s="1"/>
  <c r="D42" i="17" s="1"/>
  <c r="D43" i="17" s="1"/>
  <c r="D44" i="17" s="1"/>
  <c r="D45" i="17" s="1"/>
  <c r="D53" i="17" s="1"/>
  <c r="D54" i="17" s="1"/>
  <c r="D55" i="17" s="1"/>
  <c r="D56" i="17" s="1"/>
  <c r="D57" i="17" s="1"/>
  <c r="D58" i="17" s="1"/>
  <c r="D14" i="14"/>
  <c r="D15" i="14" s="1"/>
  <c r="D16" i="14" s="1"/>
  <c r="D21" i="14" s="1"/>
  <c r="E56" i="14"/>
  <c r="D33" i="15" l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7" i="15" s="1"/>
  <c r="D48" i="15" s="1"/>
  <c r="D49" i="15" s="1"/>
  <c r="D51" i="15" s="1"/>
  <c r="D52" i="15" s="1"/>
  <c r="D53" i="15" s="1"/>
  <c r="J54" i="15" l="1"/>
  <c r="W22" i="14"/>
  <c r="E44" i="21" s="1"/>
  <c r="F49" i="21" s="1"/>
  <c r="D38" i="12"/>
  <c r="D39" i="12" s="1"/>
  <c r="D40" i="12" s="1"/>
  <c r="D41" i="12" l="1"/>
  <c r="D42" i="12" s="1"/>
  <c r="D43" i="12" s="1"/>
  <c r="D44" i="12" s="1"/>
  <c r="D45" i="12" s="1"/>
  <c r="D46" i="12" s="1"/>
  <c r="D51" i="12" l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" i="12" l="1"/>
  <c r="D7" i="12" s="1"/>
  <c r="D8" i="12" s="1"/>
  <c r="D9" i="12" l="1"/>
  <c r="D10" i="12" s="1"/>
  <c r="D11" i="12" s="1"/>
  <c r="D12" i="12" s="1"/>
  <c r="D13" i="12" s="1"/>
  <c r="D14" i="12" s="1"/>
  <c r="D15" i="12" s="1"/>
  <c r="D16" i="12" l="1"/>
  <c r="D21" i="12" l="1"/>
  <c r="D22" i="12" s="1"/>
  <c r="D23" i="12" s="1"/>
  <c r="D24" i="12" s="1"/>
  <c r="D25" i="12" s="1"/>
  <c r="D26" i="12" s="1"/>
  <c r="D27" i="12" s="1"/>
  <c r="D28" i="12" s="1"/>
  <c r="D34" i="22" l="1"/>
  <c r="D35" i="22" l="1"/>
  <c r="D36" i="22" l="1"/>
  <c r="D37" i="22" s="1"/>
  <c r="D38" i="22" s="1"/>
  <c r="D39" i="22" s="1"/>
  <c r="D40" i="22" l="1"/>
  <c r="D41" i="22" s="1"/>
  <c r="D43" i="22" l="1"/>
  <c r="D44" i="22" s="1"/>
</calcChain>
</file>

<file path=xl/sharedStrings.xml><?xml version="1.0" encoding="utf-8"?>
<sst xmlns="http://schemas.openxmlformats.org/spreadsheetml/2006/main" count="753" uniqueCount="106">
  <si>
    <t>Linka číslo 745561</t>
  </si>
  <si>
    <t>Tč</t>
  </si>
  <si>
    <t>km</t>
  </si>
  <si>
    <t>5:08</t>
  </si>
  <si>
    <t>21:00</t>
  </si>
  <si>
    <t>opačný směr</t>
  </si>
  <si>
    <t>X+X50</t>
  </si>
  <si>
    <t>Linka číslo 745562</t>
  </si>
  <si>
    <t>Linka číslo 745563</t>
  </si>
  <si>
    <t>Linka číslo 745565</t>
  </si>
  <si>
    <t>Linka číslo 745566</t>
  </si>
  <si>
    <t>Linka číslo 745567</t>
  </si>
  <si>
    <t>Linka číslo 745568</t>
  </si>
  <si>
    <t>Linka číslo 745569</t>
  </si>
  <si>
    <t>~</t>
  </si>
  <si>
    <t xml:space="preserve">návrh k projednání </t>
  </si>
  <si>
    <t>Aut. Nádraží</t>
  </si>
  <si>
    <t>Návrat</t>
  </si>
  <si>
    <t>Prinz</t>
  </si>
  <si>
    <t>Všední den neprázdninový</t>
  </si>
  <si>
    <t>Sovadinova</t>
  </si>
  <si>
    <t>Cukrovar</t>
  </si>
  <si>
    <t>Nám. TGM, mě. Ú.</t>
  </si>
  <si>
    <t>Dům kultury</t>
  </si>
  <si>
    <t>Poliklinika</t>
  </si>
  <si>
    <t>Nemocnice</t>
  </si>
  <si>
    <t>Jana Skácela/1. Máje Výstup</t>
  </si>
  <si>
    <t>Necmonice</t>
  </si>
  <si>
    <t>Slovácká</t>
  </si>
  <si>
    <t>Poštorná , kostel Výstup</t>
  </si>
  <si>
    <t>Lidická</t>
  </si>
  <si>
    <t>Mánesova</t>
  </si>
  <si>
    <t>Vinohradní</t>
  </si>
  <si>
    <t>Křižovatka Ladná</t>
  </si>
  <si>
    <t>Jana Moláka x</t>
  </si>
  <si>
    <t xml:space="preserve"> </t>
  </si>
  <si>
    <t>xxx</t>
  </si>
  <si>
    <t>Mětský hřbitov</t>
  </si>
  <si>
    <t>Pohansko, rozc.</t>
  </si>
  <si>
    <t>Gumotex</t>
  </si>
  <si>
    <t>BORS</t>
  </si>
  <si>
    <t>Městský Hřbitov</t>
  </si>
  <si>
    <t xml:space="preserve">  </t>
  </si>
  <si>
    <t>Pohansko rozc.</t>
  </si>
  <si>
    <t>Jana Palacha</t>
  </si>
  <si>
    <t>nám.TGM kostel</t>
  </si>
  <si>
    <t>Poštorná,Lesní</t>
  </si>
  <si>
    <t>Poštorná,kostel</t>
  </si>
  <si>
    <t>Poštorná,Hlavní</t>
  </si>
  <si>
    <t>Poštorná,Hlavní na konci</t>
  </si>
  <si>
    <t>Charvátská N.Ves,Palackého</t>
  </si>
  <si>
    <t>Charvátská N.Ves,Lednická</t>
  </si>
  <si>
    <t>Charvátská N.Ves,Obránců míru</t>
  </si>
  <si>
    <t>Městský hřbitov</t>
  </si>
  <si>
    <t>Lanžhotská</t>
  </si>
  <si>
    <t>poliklinika</t>
  </si>
  <si>
    <t>Poštorná,Nádražní</t>
  </si>
  <si>
    <t>Poštorná,PKZ</t>
  </si>
  <si>
    <t>Poštorná,Tovární čtvrť</t>
  </si>
  <si>
    <t>Poštorná,Valtická točna</t>
  </si>
  <si>
    <t>Poštorná,Valtická</t>
  </si>
  <si>
    <t>Poštorná,Jana Skácela</t>
  </si>
  <si>
    <t>Poštorná,Hraniční</t>
  </si>
  <si>
    <t>Poštorná,FOSFA</t>
  </si>
  <si>
    <t xml:space="preserve"> Poštorná, Tovární čtvrt</t>
  </si>
  <si>
    <t xml:space="preserve"> Poštoná, PKZ</t>
  </si>
  <si>
    <t xml:space="preserve"> Poštorná, Nádražní</t>
  </si>
  <si>
    <t>Nám. TGM, kostel</t>
  </si>
  <si>
    <t xml:space="preserve"> Poliklinika</t>
  </si>
  <si>
    <t xml:space="preserve"> Jana Palacha</t>
  </si>
  <si>
    <t xml:space="preserve"> Nám. TGM, kostel</t>
  </si>
  <si>
    <t>Stará Břeclav,  kult.dům</t>
  </si>
  <si>
    <t>Stará Břeclav,  u parku</t>
  </si>
  <si>
    <t>Stará Břeclav,  Lidická</t>
  </si>
  <si>
    <t>Stará Břeclav,  Skopalíkova</t>
  </si>
  <si>
    <t>Stará Břeclav,  Vinohradní</t>
  </si>
  <si>
    <t>Stará Břeclav,  J.Moláka</t>
  </si>
  <si>
    <t>Stará Břeclav,  křiž.Ladná</t>
  </si>
  <si>
    <t>Stará Břeclav,  Mánesova</t>
  </si>
  <si>
    <t>Stará Břeclav,  u Parku</t>
  </si>
  <si>
    <t>Stará Břeclav,  DK</t>
  </si>
  <si>
    <t>Stará Břeclav, DK</t>
  </si>
  <si>
    <t>Stará Břeclav,  Dk</t>
  </si>
  <si>
    <t>odj.</t>
  </si>
  <si>
    <t>příj.</t>
  </si>
  <si>
    <t>Autobusové nádraží-Slovácká - Cukrovar - Poliklinika - Poštorná,FOSFA</t>
  </si>
  <si>
    <t>Poštorná,FOSFA - Poliklinika - Cukrovar - Slovácká - Autobusové nádraží</t>
  </si>
  <si>
    <t>Stará Břeclav - Sovadinova - Městský Hřbitov</t>
  </si>
  <si>
    <t>Křižovatka Ladná - Sovadinova - Aut. Nádraží - Nám. TGM - Valtická Točna</t>
  </si>
  <si>
    <t>Valtická Točna - Aut. Nádraží - Sovadinova - Křižovatka Ladná</t>
  </si>
  <si>
    <t>Autobusové nádraží-Hlavní - Valtická Točna</t>
  </si>
  <si>
    <t>Valtická Točna - Hlavní - Autobusové Nádraží</t>
  </si>
  <si>
    <t>Městský hřbitov-Poliklinika - Vatlická Točna</t>
  </si>
  <si>
    <t>Valtická Točna - Poliklinika - Městský Hřbitov</t>
  </si>
  <si>
    <t>Linka</t>
  </si>
  <si>
    <t>Km celkem</t>
  </si>
  <si>
    <t xml:space="preserve"> Městský Hřbitov</t>
  </si>
  <si>
    <t>Autobusové nádraží</t>
  </si>
  <si>
    <t>Městský hřbitov-Hlavní-Charvátská Nová Ves</t>
  </si>
  <si>
    <t>Charvatská Nová Ves - Hlavní - Městský Hřbitov</t>
  </si>
  <si>
    <t>Městský hřbitov-Valtická Točna-Charvátská Nová Ves</t>
  </si>
  <si>
    <t>Charvatská Nová Ves - Valtická Točna - Městský Hřbitov</t>
  </si>
  <si>
    <t>Městský hřbitov-Sovadinova-Stará Břeclav</t>
  </si>
  <si>
    <t>Charvátská Nová Ves-Hlavní-Autobusové nádraží - Stará Břeclav</t>
  </si>
  <si>
    <t>Stará Břeclav - Hlavní - Autobusové nádraží - Charvátská Nová Ves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</si>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</sst>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4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b/>
      <sz val="10"/>
      <color rgb="FF000000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color rgb="FF000000"/>
      <name val="Times New Roman"/>
      <family val="1"/>
      <charset val="238"/>
    </font>
    <font>
      <sz val="8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4"/>
      <color rgb="FF00000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rgb="FF000000"/>
      <name val="Times New Roman"/>
      <family val="1"/>
      <charset val="238"/>
    </font>
    <font>
      <sz val="10"/>
      <name val="Times New Roman"/>
      <family val="1"/>
      <charset val="238"/>
    </font>
    <font>
      <sz val="8"/>
      <name val="Calibri"/>
      <family val="2"/>
      <charset val="238"/>
      <scheme val="minor"/>
    </font>
    <font>
      <b/>
      <sz val="14"/>
      <color rgb="FF000000"/>
      <name val="Arial"/>
      <family val="2"/>
      <charset val="238"/>
    </font>
    <font>
      <sz val="14"/>
      <color rgb="FF000000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9"/>
      <color theme="1"/>
      <name val="Times New Roman"/>
      <family val="1"/>
      <charset val="238"/>
    </font>
    <font>
      <sz val="10"/>
      <name val="Arial"/>
      <family val="2"/>
      <charset val="238"/>
    </font>
    <font>
      <strike/>
      <sz val="10"/>
      <color rgb="FF00B0F0"/>
      <name val="Arial"/>
      <family val="2"/>
      <charset val="238"/>
    </font>
    <font>
      <b/>
      <sz val="10"/>
      <name val="Times New Roman"/>
      <family val="1"/>
      <charset val="238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22" fillId="0" borderId="0"/>
  </cellStyleXfs>
  <cellXfs count="193">
    <xf numFmtId="0" fontId="0" fillId="0" borderId="0" xfId="0"/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8" fillId="3" borderId="5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0" xfId="2" applyAlignment="1">
      <alignment vertical="center"/>
    </xf>
    <xf numFmtId="0" fontId="0" fillId="0" borderId="0" xfId="0" applyAlignment="1">
      <alignment vertical="center"/>
    </xf>
    <xf numFmtId="0" fontId="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4" fontId="3" fillId="3" borderId="5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13" fillId="0" borderId="0" xfId="2" applyNumberFormat="1" applyFont="1" applyAlignment="1">
      <alignment vertical="center"/>
    </xf>
    <xf numFmtId="0" fontId="13" fillId="0" borderId="0" xfId="2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0" xfId="2" applyNumberFormat="1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2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6" fillId="0" borderId="0" xfId="1" applyNumberFormat="1" applyFont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9" fillId="0" borderId="18" xfId="0" applyNumberFormat="1" applyFont="1" applyBorder="1" applyAlignment="1">
      <alignment horizontal="center" vertical="center"/>
    </xf>
    <xf numFmtId="20" fontId="10" fillId="0" borderId="15" xfId="0" applyNumberFormat="1" applyFont="1" applyBorder="1" applyAlignment="1">
      <alignment horizontal="center" vertical="center"/>
    </xf>
    <xf numFmtId="20" fontId="14" fillId="0" borderId="15" xfId="1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0" fontId="3" fillId="0" borderId="15" xfId="2" applyNumberFormat="1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49" fontId="14" fillId="0" borderId="15" xfId="3" applyNumberFormat="1" applyFont="1" applyBorder="1" applyAlignment="1">
      <alignment horizontal="center" vertical="center" textRotation="90"/>
    </xf>
    <xf numFmtId="0" fontId="9" fillId="0" borderId="18" xfId="0" applyFont="1" applyBorder="1" applyAlignment="1">
      <alignment horizontal="center" vertical="center"/>
    </xf>
    <xf numFmtId="20" fontId="14" fillId="0" borderId="15" xfId="0" applyNumberFormat="1" applyFont="1" applyBorder="1" applyAlignment="1">
      <alignment horizontal="center" vertical="center"/>
    </xf>
    <xf numFmtId="49" fontId="14" fillId="0" borderId="15" xfId="3" applyNumberFormat="1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20" fontId="14" fillId="0" borderId="15" xfId="2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64" fontId="14" fillId="0" borderId="19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49" fontId="22" fillId="0" borderId="15" xfId="3" applyNumberFormat="1" applyBorder="1" applyAlignment="1">
      <alignment horizontal="center" vertical="center" textRotation="90"/>
    </xf>
    <xf numFmtId="164" fontId="14" fillId="0" borderId="21" xfId="0" applyNumberFormat="1" applyFont="1" applyBorder="1" applyAlignment="1">
      <alignment horizontal="center" vertical="center"/>
    </xf>
    <xf numFmtId="0" fontId="14" fillId="0" borderId="15" xfId="1" applyNumberFormat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3" fillId="0" borderId="15" xfId="1" applyFont="1" applyBorder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0" fontId="3" fillId="0" borderId="25" xfId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20" fontId="14" fillId="0" borderId="28" xfId="1" applyNumberFormat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0" xfId="1" applyFont="1" applyBorder="1" applyAlignment="1">
      <alignment horizontal="left" vertical="center"/>
    </xf>
    <xf numFmtId="0" fontId="3" fillId="0" borderId="30" xfId="1" applyFont="1" applyBorder="1" applyAlignment="1">
      <alignment horizontal="center" vertical="center"/>
    </xf>
    <xf numFmtId="20" fontId="14" fillId="0" borderId="30" xfId="1" applyNumberFormat="1" applyFont="1" applyBorder="1" applyAlignment="1">
      <alignment horizontal="center" vertical="center"/>
    </xf>
    <xf numFmtId="20" fontId="14" fillId="0" borderId="31" xfId="1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20" fontId="10" fillId="0" borderId="28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/>
    </xf>
    <xf numFmtId="0" fontId="10" fillId="0" borderId="30" xfId="0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/>
    </xf>
    <xf numFmtId="0" fontId="3" fillId="0" borderId="15" xfId="2" applyFont="1" applyBorder="1" applyAlignment="1">
      <alignment horizontal="left" vertical="center"/>
    </xf>
    <xf numFmtId="0" fontId="3" fillId="0" borderId="25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0" fontId="3" fillId="0" borderId="27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3" fillId="0" borderId="30" xfId="2" applyFont="1" applyBorder="1" applyAlignment="1">
      <alignment horizontal="left" vertical="center"/>
    </xf>
    <xf numFmtId="164" fontId="3" fillId="3" borderId="33" xfId="1" applyNumberFormat="1" applyFont="1" applyFill="1" applyBorder="1" applyAlignment="1">
      <alignment horizontal="center" vertical="center"/>
    </xf>
    <xf numFmtId="20" fontId="14" fillId="0" borderId="28" xfId="2" applyNumberFormat="1" applyFont="1" applyBorder="1" applyAlignment="1">
      <alignment horizontal="center" vertical="center"/>
    </xf>
    <xf numFmtId="0" fontId="3" fillId="0" borderId="29" xfId="2" applyFont="1" applyBorder="1" applyAlignment="1">
      <alignment vertical="center"/>
    </xf>
    <xf numFmtId="0" fontId="4" fillId="2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0" xfId="1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20" fontId="14" fillId="0" borderId="28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49" fontId="14" fillId="0" borderId="28" xfId="3" applyNumberFormat="1" applyFont="1" applyBorder="1" applyAlignment="1">
      <alignment horizontal="center" vertical="center" textRotation="90"/>
    </xf>
    <xf numFmtId="0" fontId="14" fillId="0" borderId="4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/>
    </xf>
    <xf numFmtId="49" fontId="22" fillId="0" borderId="28" xfId="3" applyNumberFormat="1" applyBorder="1" applyAlignment="1">
      <alignment horizontal="center" vertical="center" textRotation="90"/>
    </xf>
    <xf numFmtId="0" fontId="14" fillId="0" borderId="28" xfId="1" applyNumberFormat="1" applyFont="1" applyBorder="1" applyAlignment="1">
      <alignment horizontal="center" vertical="center"/>
    </xf>
    <xf numFmtId="0" fontId="3" fillId="0" borderId="34" xfId="2" applyFont="1" applyBorder="1" applyAlignment="1">
      <alignment vertical="center"/>
    </xf>
    <xf numFmtId="0" fontId="4" fillId="2" borderId="35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164" fontId="14" fillId="0" borderId="36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24" fillId="0" borderId="15" xfId="1" applyNumberFormat="1" applyFont="1" applyBorder="1" applyAlignment="1">
      <alignment horizontal="center" vertical="center"/>
    </xf>
    <xf numFmtId="0" fontId="24" fillId="0" borderId="28" xfId="1" applyNumberFormat="1" applyFont="1" applyBorder="1" applyAlignment="1">
      <alignment horizontal="center" vertical="center"/>
    </xf>
    <xf numFmtId="0" fontId="3" fillId="0" borderId="28" xfId="1" applyFont="1" applyBorder="1" applyAlignment="1">
      <alignment vertical="center"/>
    </xf>
    <xf numFmtId="0" fontId="5" fillId="0" borderId="12" xfId="0" applyFont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164" fontId="13" fillId="0" borderId="0" xfId="2" applyNumberFormat="1" applyFont="1" applyAlignment="1">
      <alignment vertical="center"/>
    </xf>
    <xf numFmtId="0" fontId="0" fillId="0" borderId="37" xfId="0" applyBorder="1"/>
    <xf numFmtId="0" fontId="26" fillId="0" borderId="38" xfId="0" applyFont="1" applyBorder="1"/>
    <xf numFmtId="0" fontId="0" fillId="0" borderId="41" xfId="0" applyBorder="1"/>
    <xf numFmtId="0" fontId="0" fillId="0" borderId="42" xfId="0" applyBorder="1"/>
    <xf numFmtId="0" fontId="0" fillId="0" borderId="45" xfId="0" applyBorder="1"/>
    <xf numFmtId="0" fontId="0" fillId="0" borderId="47" xfId="0" applyBorder="1"/>
    <xf numFmtId="0" fontId="0" fillId="0" borderId="44" xfId="0" applyBorder="1"/>
    <xf numFmtId="0" fontId="0" fillId="0" borderId="49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34" xfId="0" applyBorder="1"/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3" xfId="0" applyBorder="1" applyAlignment="1">
      <alignment horizontal="center"/>
    </xf>
    <xf numFmtId="0" fontId="26" fillId="0" borderId="54" xfId="0" applyFont="1" applyBorder="1"/>
    <xf numFmtId="0" fontId="0" fillId="0" borderId="50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4" fillId="0" borderId="0" xfId="0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0" borderId="33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9" xfId="0" applyBorder="1" applyAlignment="1">
      <alignment horizontal="center"/>
    </xf>
    <xf numFmtId="20" fontId="3" fillId="0" borderId="28" xfId="2" applyNumberFormat="1" applyFont="1" applyBorder="1" applyAlignment="1">
      <alignment horizontal="center" vertical="center"/>
    </xf>
  </cellXfs>
  <cellStyles count="4">
    <cellStyle name="Normální" xfId="0" builtinId="0"/>
    <cellStyle name="Normální 2" xfId="1" xr:uid="{8BC879BA-F045-4C2E-A380-1C426D657719}"/>
    <cellStyle name="Normální 3" xfId="2" xr:uid="{32A54F4F-8650-485A-8C44-77873F057403}"/>
    <cellStyle name="normální_xlaJRLJR 2" xfId="3" xr:uid="{B5F59A06-E2F6-4BA8-BF00-194EAD52C3F3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11</xdr:col>
      <xdr:colOff>584834</xdr:colOff>
      <xdr:row>32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8C0E67-6296-4520-A616-5B565556FA24}"/>
            </a:ext>
          </a:extLst>
        </xdr:cNvPr>
        <xdr:cNvSpPr txBox="1"/>
      </xdr:nvSpPr>
      <xdr:spPr>
        <a:xfrm>
          <a:off x="0" y="57150"/>
          <a:ext cx="8623934" cy="923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 b="1"/>
            <a:t>Příloha</a:t>
          </a:r>
          <a:r>
            <a:rPr lang="cs-CZ" sz="1100" b="1" baseline="0"/>
            <a:t> k petici: Návrh jízdních řádů</a:t>
          </a:r>
          <a:endParaRPr lang="cs-CZ" sz="1100" b="1"/>
        </a:p>
        <a:p>
          <a:endParaRPr lang="cs-CZ" sz="400"/>
        </a:p>
        <a:p>
          <a:r>
            <a:rPr lang="cs-CZ" sz="1100"/>
            <a:t>Popis</a:t>
          </a:r>
          <a:r>
            <a:rPr lang="cs-CZ" sz="1100" baseline="0"/>
            <a:t> návrhu jízdních řádů</a:t>
          </a:r>
        </a:p>
        <a:p>
          <a:r>
            <a:rPr lang="cs-CZ" sz="1100" baseline="0"/>
            <a:t>======================</a:t>
          </a:r>
        </a:p>
        <a:p>
          <a:r>
            <a:rPr lang="cs-CZ" sz="1100" baseline="0"/>
            <a:t>Uvedený návrh je určen pro všední dny a vychází ze stejného počtu km. Zohledňuje výsledky PUMMu a prioritizuje hlavní přepravní proudy cestujících z centra do městských periferii, zatímco méně vytížené relace zůstávají dobře dostupné s možností přestupu. Dochází k vytvoření pravidelného přímého taktového spojení do všech městských částí po cca. 20 min po celý den, které je přehledné a srozumitelné a umožňuje tak lepší dostupnost po Břeclavi po celý den. Dochází také k využití autobusového nádraží jako přestupního uzlu 3x do hodiny a zlepšuje také spojení mezi jednotlivými městskými částmi jako například mezi Starou Břeclaví a Charvatskou Novou Vsí. Pro cestu do Staré Břeclavi nově využívá ulici Na Zahradách, čímž se výrazně zlepší spojení do Staré Břeclavi z 2x na 3x do hodiny a také do Charvatské Nové Vsi. Rozvázání okružních linek 564 a 565 na Křiž. Ladná z důvodu pravidelného zpoždění spojů na odjezdu do centra vzniklých dopravní kongescí. Přímé spojení k nemocnici/poliklinice, Aut. Nádraží a Nám. TGM ze všech zastávek MHD. Krátké vedení vybraných linek 563 mezi FOSFA a Poštorná, kostel zlepší špičkovou dostupnost k FOSFA na 30 min a obslouží všechny konce směn. Vedení linky 563 kolem Sovadinovy a Curkovaru vytvoří spojení na Nám. TGM i ze zastávky Slovácká.  Počítám s drobnými vychýleními z pravidelného taktu z důvodu navázání na začátky/konce směn výnamných podniků či školní spoje, ale systém zůstane většinově zachován.</a:t>
          </a:r>
        </a:p>
        <a:p>
          <a:endParaRPr lang="cs-CZ" sz="600" baseline="0"/>
        </a:p>
        <a:p>
          <a:r>
            <a:rPr lang="cs-CZ" sz="1100" baseline="0"/>
            <a:t>Úpravy oproti stávajícím linkám</a:t>
          </a:r>
        </a:p>
        <a:p>
          <a:r>
            <a:rPr lang="cs-CZ" sz="1100" baseline="0"/>
            <a:t>==========================</a:t>
          </a:r>
        </a:p>
        <a:p>
          <a:r>
            <a:rPr lang="cs-CZ" sz="1100" baseline="0"/>
            <a:t>568 začíná na Měsském Hřbitově a končí na Valtické točně.</a:t>
          </a:r>
        </a:p>
        <a:p>
          <a:r>
            <a:rPr lang="cs-CZ" sz="1100" baseline="0"/>
            <a:t>566,567 neokružní, přepínání mezi linkami 566/567/568 na Valtické točně.</a:t>
          </a:r>
        </a:p>
        <a:p>
          <a:r>
            <a:rPr lang="cs-CZ" sz="1100" baseline="0"/>
            <a:t>566 a 569 prodlouženy ulicí od Autobusového nádraží ulicí Na Zahradách do Staré Břeclavi.</a:t>
          </a:r>
        </a:p>
        <a:p>
          <a:r>
            <a:rPr lang="cs-CZ" sz="1100" baseline="0"/>
            <a:t>563 vedena přes Nemocnici, TGM, Cukrovar a Sovadinovu, vybrané spoje jedou jen relaci Poštorná, kostel - Fosfa.</a:t>
          </a:r>
        </a:p>
        <a:p>
          <a:r>
            <a:rPr lang="cs-CZ" sz="1100" baseline="0"/>
            <a:t>564 zrušena a nahrazena 574. 571 zastavuje na všech nácestných zastávkách.</a:t>
          </a:r>
        </a:p>
        <a:p>
          <a:endParaRPr lang="cs-CZ" sz="600" baseline="0"/>
        </a:p>
        <a:p>
          <a:r>
            <a:rPr lang="cs-CZ" sz="1100" baseline="0"/>
            <a:t>Uvažované vedení linek</a:t>
          </a:r>
        </a:p>
        <a:p>
          <a:r>
            <a:rPr lang="cs-CZ" sz="1100" baseline="0"/>
            <a:t>===================</a:t>
          </a:r>
        </a:p>
        <a:p>
          <a:r>
            <a:rPr lang="cs-CZ" sz="1100" baseline="0"/>
            <a:t>561 </a:t>
          </a:r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Městský hřbitov-Poštorná-Charvátská Nová Ves</a:t>
          </a:r>
          <a:r>
            <a:rPr lang="cs-CZ"/>
            <a:t> a zpět</a:t>
          </a:r>
        </a:p>
        <a:p>
          <a:r>
            <a:rPr lang="cs-CZ" sz="1100"/>
            <a:t>562 </a:t>
          </a:r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Městský hřbitov-Valtická Točna-Charvátská Nová Ves</a:t>
          </a:r>
          <a:r>
            <a:rPr lang="cs-CZ"/>
            <a:t> a zpět</a:t>
          </a:r>
        </a:p>
        <a:p>
          <a:r>
            <a:rPr lang="cs-CZ" sz="1100"/>
            <a:t>563</a:t>
          </a:r>
          <a:r>
            <a:rPr lang="cs-CZ" sz="1100" baseline="0"/>
            <a:t> </a:t>
          </a:r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Autobusové nádraží-Slovácká - Cukrovar - Poliklinika - Poštorná, FOSFA</a:t>
          </a:r>
          <a:r>
            <a:rPr lang="cs-CZ"/>
            <a:t> a zpět</a:t>
          </a:r>
        </a:p>
        <a:p>
          <a:r>
            <a:rPr lang="cs-CZ" sz="1100"/>
            <a:t>565</a:t>
          </a:r>
          <a:r>
            <a:rPr lang="cs-CZ" sz="1100" baseline="0"/>
            <a:t> </a:t>
          </a:r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Městský hřbitov-Sovadinova-Stará Břeclav</a:t>
          </a:r>
          <a:r>
            <a:rPr lang="cs-CZ"/>
            <a:t> a zpět</a:t>
          </a:r>
        </a:p>
        <a:p>
          <a:r>
            <a:rPr lang="cs-CZ" sz="1100"/>
            <a:t>566</a:t>
          </a:r>
          <a:r>
            <a:rPr lang="cs-CZ" sz="1100" baseline="0"/>
            <a:t> </a:t>
          </a:r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Křižovatka Ladná - Sovadinova - Aut. Nádraží - Nám. TGM - Valtická Točna</a:t>
          </a:r>
          <a:r>
            <a:rPr lang="cs-CZ"/>
            <a:t> a</a:t>
          </a:r>
          <a:r>
            <a:rPr lang="cs-CZ" baseline="0"/>
            <a:t> zpět</a:t>
          </a:r>
        </a:p>
        <a:p>
          <a:r>
            <a:rPr lang="cs-CZ" sz="1100" baseline="0"/>
            <a:t>567 </a:t>
          </a:r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Autobusové nádraží-Hlavní - Valtická Točna</a:t>
          </a:r>
          <a:r>
            <a:rPr lang="cs-CZ"/>
            <a:t> a zpět</a:t>
          </a:r>
        </a:p>
        <a:p>
          <a:r>
            <a:rPr lang="cs-CZ" sz="1100"/>
            <a:t>568 </a:t>
          </a:r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Městský hřbitov-Poliklinika - Vatlická Točna</a:t>
          </a:r>
          <a:r>
            <a:rPr lang="cs-CZ"/>
            <a:t>  a zpět</a:t>
          </a:r>
        </a:p>
        <a:p>
          <a:r>
            <a:rPr lang="cs-CZ" sz="1100"/>
            <a:t>569 </a:t>
          </a:r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Charvátská Nová Ves-Hlavní-Autobusové nádraží - Stará Břeclav</a:t>
          </a:r>
          <a:r>
            <a:rPr lang="cs-CZ" b="1"/>
            <a:t> </a:t>
          </a:r>
          <a:r>
            <a:rPr lang="cs-CZ" b="0"/>
            <a:t>a zpět</a:t>
          </a:r>
        </a:p>
        <a:p>
          <a:r>
            <a:rPr lang="cs-CZ" b="0"/>
            <a:t>Schéma</a:t>
          </a:r>
          <a:r>
            <a:rPr lang="cs-CZ" b="0" baseline="0"/>
            <a:t> uvažuje se </a:t>
          </a:r>
          <a:r>
            <a:rPr lang="cs-CZ" b="1" baseline="0"/>
            <a:t>zastavováním meziměstských spojů 574 a 571 na všech nácestných zastávkách </a:t>
          </a:r>
          <a:r>
            <a:rPr lang="cs-CZ" b="0" baseline="0"/>
            <a:t>(jak bylo navrženo kordisem v roce 2018 v rámci vypracované optimalizace).</a:t>
          </a:r>
        </a:p>
        <a:p>
          <a:endParaRPr lang="cs-CZ" sz="600" baseline="0"/>
        </a:p>
        <a:p>
          <a:r>
            <a:rPr lang="cs-CZ"/>
            <a:t>Související úpravy ke zvážení:</a:t>
          </a:r>
        </a:p>
        <a:p>
          <a:r>
            <a:rPr lang="cs-CZ"/>
            <a:t>========================</a:t>
          </a:r>
        </a:p>
        <a:p>
          <a:r>
            <a:rPr lang="cs-CZ" sz="1050"/>
            <a:t>-</a:t>
          </a:r>
          <a:r>
            <a:rPr lang="cs-CZ" sz="1050" baseline="0"/>
            <a:t> vedení spojů MHD ulicí Písníky místo ulicí Na Kopci umožní obloužit zastávku Vinohradní v obou směrech všemi spoji</a:t>
          </a:r>
        </a:p>
        <a:p>
          <a:r>
            <a:rPr lang="cs-CZ" sz="1050" baseline="0"/>
            <a:t>- vedení spojů MHD ulicí Slovácká a Husova místo kolem parku umožní ušetřit další významné výdaje (v návrhu není uvažováno)</a:t>
          </a:r>
        </a:p>
        <a:p>
          <a:r>
            <a:rPr lang="cs-CZ" sz="1050"/>
            <a:t>- přesun zastávky Průmyslová škola paralelně</a:t>
          </a:r>
          <a:r>
            <a:rPr lang="cs-CZ" sz="1050" baseline="0"/>
            <a:t> se zastávkou u Domu kultury umožní lepší dostupnost do centra</a:t>
          </a:r>
        </a:p>
        <a:p>
          <a:r>
            <a:rPr lang="cs-CZ" sz="1050" baseline="0"/>
            <a:t>- posun zastávky Hlavní na konci ve směru do Charvatské blíže k Penny Marketu zkrátí cestu na zastávku od sídliště Na Valtické</a:t>
          </a:r>
        </a:p>
        <a:p>
          <a:r>
            <a:rPr lang="cs-CZ" sz="1050" baseline="0"/>
            <a:t>-zrušení či významné omezení zastávky Domov důchodců, která je pouhých 200 m od Lidické, kde je větší hustota obyvatel (také dle závěrů PUMM)</a:t>
          </a:r>
        </a:p>
        <a:p>
          <a:r>
            <a:rPr lang="cs-CZ" sz="1050" baseline="0"/>
            <a:t>-zřízení zastávky pro výstup na J. Skácela před domem 151/3 umožní hladký přestup z 563 na spoje do města na zastávce Poštorná, kostel</a:t>
          </a:r>
        </a:p>
        <a:p>
          <a:r>
            <a:rPr lang="cs-CZ" sz="1050" baseline="0"/>
            <a:t>-zavedení návaznosti a čekacích dob u vlaků IDS JMK</a:t>
          </a:r>
          <a:endParaRPr lang="cs-CZ" sz="1050"/>
        </a:p>
        <a:p>
          <a:r>
            <a:rPr lang="cs-CZ" sz="1050"/>
            <a:t>-instalace příjezdových monitorů ČD</a:t>
          </a:r>
          <a:r>
            <a:rPr lang="cs-CZ" sz="1050" baseline="0"/>
            <a:t> na autobusovém nádraží u zastávek umožní řidičům zjistit informace o spojích a neujíždět cestujícím z vlaků rj/RJ/EC, které jsou místními hojně využívány a jejichž poloha není v systému IDS JMK řidičům na pokladnách dostupná -&gt; umožní čekání na zpožděné vlaky v mimošpičkové časy</a:t>
          </a:r>
        </a:p>
        <a:p>
          <a:r>
            <a:rPr lang="cs-CZ" sz="1050" baseline="0"/>
            <a:t>-prohození stanovišť č.3 a č. 5 na Autobusovém nádraží zajistí kratší vzdálenosti při přestupech mezi spoji MHD</a:t>
          </a:r>
        </a:p>
        <a:p>
          <a:r>
            <a:rPr lang="cs-CZ" sz="1050"/>
            <a:t>-přesun</a:t>
          </a:r>
          <a:r>
            <a:rPr lang="cs-CZ" sz="1050" baseline="0"/>
            <a:t> zastávky Třída 1. Máje pro meziměstské spoje na Nám. TGM zlepší návaznosti na MHD (vznikla v době, kdy se na zastávku TGM nevešly dva autobusy, protože ještě jezdil kloubový autobus)</a:t>
          </a:r>
        </a:p>
        <a:p>
          <a:r>
            <a:rPr lang="cs-CZ" sz="1050" baseline="0"/>
            <a:t>- zřízení obousměrné zastávky v ulici Na Zahradách, kudy jsou vedeny nově vybrané spoje linky 566 a 569</a:t>
          </a:r>
        </a:p>
        <a:p>
          <a:r>
            <a:rPr lang="cs-CZ" sz="1050" baseline="0"/>
            <a:t>- zřízení zastávky Mánesova také v opačném směru</a:t>
          </a:r>
        </a:p>
        <a:p>
          <a:r>
            <a:rPr lang="cs-CZ" sz="1050"/>
            <a:t>-zavedení nástupu všemi dveřmi (dle</a:t>
          </a:r>
          <a:r>
            <a:rPr lang="cs-CZ" sz="1050" baseline="0"/>
            <a:t> závěrů z PUMM)</a:t>
          </a:r>
        </a:p>
        <a:p>
          <a:r>
            <a:rPr lang="cs-CZ" sz="1050"/>
            <a:t>-umožnění přestupu na základní jízdenku na vybraných relacích po vzoru</a:t>
          </a:r>
          <a:r>
            <a:rPr lang="cs-CZ" sz="1050" baseline="0"/>
            <a:t> úsekových jízdenek IDS JMK</a:t>
          </a:r>
          <a:endParaRPr lang="cs-CZ" sz="1050"/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9757-A152-40FF-9608-A9885192BE79}">
  <sheetPr>
    <pageSetUpPr fitToPage="1"/>
  </sheetPr>
  <dimension ref="B1:F49"/>
  <sheetViews>
    <sheetView topLeftCell="A13" zoomScaleNormal="100" workbookViewId="0">
      <selection activeCell="I44" sqref="I44"/>
    </sheetView>
  </sheetViews>
  <sheetFormatPr defaultRowHeight="14.4" x14ac:dyDescent="0.3"/>
  <cols>
    <col min="1" max="1" width="26.5546875" customWidth="1"/>
    <col min="2" max="2" width="10.6640625" customWidth="1"/>
  </cols>
  <sheetData>
    <row r="1" ht="42.75" customHeight="1" x14ac:dyDescent="0.3"/>
    <row r="2" ht="65.400000000000006" customHeight="1" x14ac:dyDescent="0.3"/>
    <row r="24" ht="58.5" customHeight="1" x14ac:dyDescent="0.3"/>
    <row r="25" ht="58.5" customHeight="1" x14ac:dyDescent="0.3"/>
    <row r="26" ht="58.5" customHeight="1" x14ac:dyDescent="0.3"/>
    <row r="27" ht="58.5" customHeight="1" x14ac:dyDescent="0.3"/>
    <row r="29" ht="32.25" customHeight="1" x14ac:dyDescent="0.3"/>
    <row r="30" ht="8.25" customHeight="1" x14ac:dyDescent="0.3"/>
    <row r="32" ht="8.25" customHeight="1" x14ac:dyDescent="0.3"/>
    <row r="34" spans="2:6" ht="4.8" customHeight="1" x14ac:dyDescent="0.3"/>
    <row r="35" spans="2:6" ht="6" customHeight="1" x14ac:dyDescent="0.3"/>
    <row r="36" spans="2:6" ht="6" customHeight="1" thickBot="1" x14ac:dyDescent="0.35"/>
    <row r="37" spans="2:6" ht="18.600000000000001" thickBot="1" x14ac:dyDescent="0.4">
      <c r="B37" s="186" t="s">
        <v>19</v>
      </c>
      <c r="C37" s="187"/>
      <c r="D37" s="187"/>
      <c r="E37" s="187"/>
      <c r="F37" s="188"/>
    </row>
    <row r="38" spans="2:6" x14ac:dyDescent="0.3">
      <c r="B38" s="174"/>
      <c r="C38" s="189" t="s">
        <v>17</v>
      </c>
      <c r="D38" s="190"/>
      <c r="E38" s="189" t="s">
        <v>18</v>
      </c>
      <c r="F38" s="191"/>
    </row>
    <row r="39" spans="2:6" x14ac:dyDescent="0.3">
      <c r="B39" s="173" t="s">
        <v>94</v>
      </c>
      <c r="C39" s="176" t="s">
        <v>2</v>
      </c>
      <c r="D39" s="177" t="s">
        <v>2</v>
      </c>
      <c r="E39" s="176" t="s">
        <v>2</v>
      </c>
      <c r="F39" s="178" t="s">
        <v>2</v>
      </c>
    </row>
    <row r="40" spans="2:6" x14ac:dyDescent="0.3">
      <c r="B40" s="174">
        <v>561</v>
      </c>
      <c r="C40" s="169">
        <v>156</v>
      </c>
      <c r="D40" s="171">
        <v>174</v>
      </c>
      <c r="E40" s="169">
        <f>'561 '!Z19</f>
        <v>137.79999999999998</v>
      </c>
      <c r="F40" s="167">
        <f>'561 '!AC40</f>
        <v>189.99999999999991</v>
      </c>
    </row>
    <row r="41" spans="2:6" x14ac:dyDescent="0.3">
      <c r="B41" s="172">
        <v>562</v>
      </c>
      <c r="C41" s="168">
        <v>218</v>
      </c>
      <c r="D41" s="170">
        <v>209</v>
      </c>
      <c r="E41" s="168">
        <f>'562 '!J26</f>
        <v>65</v>
      </c>
      <c r="F41" s="166">
        <f>'562 '!J54</f>
        <v>65.2</v>
      </c>
    </row>
    <row r="42" spans="2:6" x14ac:dyDescent="0.3">
      <c r="B42" s="172">
        <v>563</v>
      </c>
      <c r="C42" s="168">
        <v>61</v>
      </c>
      <c r="D42" s="170">
        <v>48</v>
      </c>
      <c r="E42" s="168">
        <f>'563'!AI19</f>
        <v>128.70000000000002</v>
      </c>
      <c r="F42" s="166">
        <f>'563'!AI40</f>
        <v>120.00000000000001</v>
      </c>
    </row>
    <row r="43" spans="2:6" x14ac:dyDescent="0.3">
      <c r="B43" s="172">
        <v>564</v>
      </c>
      <c r="C43" s="168">
        <v>189</v>
      </c>
      <c r="D43" s="170">
        <v>179</v>
      </c>
      <c r="E43" s="168">
        <v>0</v>
      </c>
      <c r="F43" s="166">
        <v>0</v>
      </c>
    </row>
    <row r="44" spans="2:6" x14ac:dyDescent="0.3">
      <c r="B44" s="172">
        <v>565</v>
      </c>
      <c r="C44" s="168">
        <v>94</v>
      </c>
      <c r="D44" s="170">
        <v>123</v>
      </c>
      <c r="E44" s="168">
        <f>'565 '!W22</f>
        <v>79.800000000000026</v>
      </c>
      <c r="F44" s="166">
        <f>'565 '!W63</f>
        <v>83.600000000000009</v>
      </c>
    </row>
    <row r="45" spans="2:6" x14ac:dyDescent="0.3">
      <c r="B45" s="172">
        <v>566</v>
      </c>
      <c r="C45" s="168">
        <v>93</v>
      </c>
      <c r="D45" s="170">
        <v>108</v>
      </c>
      <c r="E45" s="168">
        <f>'566 '!V30</f>
        <v>161.80000000000001</v>
      </c>
      <c r="F45" s="166">
        <f>'566 '!AB59</f>
        <v>181.1</v>
      </c>
    </row>
    <row r="46" spans="2:6" x14ac:dyDescent="0.3">
      <c r="B46" s="172">
        <v>567</v>
      </c>
      <c r="C46" s="168">
        <v>92</v>
      </c>
      <c r="D46" s="170">
        <v>116</v>
      </c>
      <c r="E46" s="168">
        <f>'567 '!AP20</f>
        <v>116.20000000000005</v>
      </c>
      <c r="F46" s="166">
        <f>'567 '!AJ43</f>
        <v>156.8000000000001</v>
      </c>
    </row>
    <row r="47" spans="2:6" x14ac:dyDescent="0.3">
      <c r="B47" s="172">
        <v>568</v>
      </c>
      <c r="C47" s="168">
        <v>25</v>
      </c>
      <c r="D47" s="170">
        <v>50</v>
      </c>
      <c r="E47" s="168">
        <f>'568'!T21</f>
        <v>144</v>
      </c>
      <c r="F47" s="166">
        <f>'568'!U45</f>
        <v>153</v>
      </c>
    </row>
    <row r="48" spans="2:6" ht="15" thickBot="1" x14ac:dyDescent="0.35">
      <c r="B48" s="180">
        <v>569</v>
      </c>
      <c r="C48" s="181">
        <v>163</v>
      </c>
      <c r="D48" s="182">
        <v>173</v>
      </c>
      <c r="E48" s="181">
        <f>'569'!Z29</f>
        <v>224.40000000000006</v>
      </c>
      <c r="F48" s="183">
        <f>'569'!AC63</f>
        <v>260.3</v>
      </c>
    </row>
    <row r="49" spans="2:6" ht="16.2" thickBot="1" x14ac:dyDescent="0.35">
      <c r="B49" s="175" t="s">
        <v>95</v>
      </c>
      <c r="C49" s="164"/>
      <c r="D49" s="179">
        <f>SUM(C40:D48)</f>
        <v>2271</v>
      </c>
      <c r="E49" s="164"/>
      <c r="F49" s="165">
        <f>SUM(E40:F48)</f>
        <v>2267.7000000000003</v>
      </c>
    </row>
  </sheetData>
  <mergeCells count="3">
    <mergeCell ref="B37:F37"/>
    <mergeCell ref="C38:D38"/>
    <mergeCell ref="E38:F38"/>
  </mergeCells>
  <pageMargins left="0.25" right="0.25" top="0.75" bottom="0.75" header="0.3" footer="0.3"/>
  <pageSetup paperSize="9" fitToHeight="0" orientation="landscape" r:id="rId1"/>
  <headerFooter>
    <oddHeader>&amp;CPrinz návrh jízdních řádů 2026</oddHead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A17D-D891-41CD-A8E4-A47E79D6E4C9}">
  <sheetPr>
    <pageSetUpPr fitToPage="1"/>
  </sheetPr>
  <dimension ref="A1:AL41"/>
  <sheetViews>
    <sheetView topLeftCell="A16" workbookViewId="0">
      <selection activeCell="Z22" sqref="Z1:AB1048576"/>
    </sheetView>
  </sheetViews>
  <sheetFormatPr defaultColWidth="9.109375" defaultRowHeight="13.2" x14ac:dyDescent="0.3"/>
  <cols>
    <col min="1" max="1" width="4.6640625" style="1" customWidth="1"/>
    <col min="2" max="2" width="25" style="1" customWidth="1"/>
    <col min="3" max="3" width="4.44140625" style="24" customWidth="1"/>
    <col min="4" max="4" width="6.44140625" style="1" customWidth="1"/>
    <col min="5" max="11" width="4.6640625" style="1" customWidth="1"/>
    <col min="12" max="28" width="6" style="1" customWidth="1"/>
    <col min="29" max="33" width="4.6640625" style="1" customWidth="1"/>
    <col min="34" max="34" width="6.5546875" style="1" customWidth="1"/>
    <col min="35" max="35" width="5.88671875" style="1" customWidth="1"/>
    <col min="36" max="36" width="7.5546875" style="1" customWidth="1"/>
    <col min="37" max="16384" width="9.109375" style="1"/>
  </cols>
  <sheetData>
    <row r="1" spans="1:25" s="3" customFormat="1" ht="18" customHeight="1" x14ac:dyDescent="0.3">
      <c r="A1" s="2" t="s">
        <v>0</v>
      </c>
      <c r="B1" s="2"/>
      <c r="C1" s="21"/>
      <c r="D1" s="2" t="s">
        <v>98</v>
      </c>
    </row>
    <row r="2" spans="1:25" s="3" customFormat="1" ht="18" customHeight="1" x14ac:dyDescent="0.3">
      <c r="A2" s="2"/>
      <c r="B2" s="2"/>
      <c r="C2" s="21"/>
      <c r="D2" s="2"/>
    </row>
    <row r="3" spans="1:25" s="3" customFormat="1" ht="15" customHeight="1" thickBot="1" x14ac:dyDescent="0.35">
      <c r="A3" s="4"/>
      <c r="B3" s="66" t="s">
        <v>15</v>
      </c>
      <c r="C3" s="15"/>
    </row>
    <row r="4" spans="1:25" s="3" customFormat="1" ht="15" customHeight="1" x14ac:dyDescent="0.3">
      <c r="A4" s="98" t="s">
        <v>1</v>
      </c>
      <c r="B4" s="99"/>
      <c r="C4" s="100"/>
      <c r="D4" s="100">
        <v>1</v>
      </c>
      <c r="E4" s="100">
        <f>D4+2</f>
        <v>3</v>
      </c>
      <c r="F4" s="100">
        <f t="shared" ref="F4:Y4" si="0">E4+2</f>
        <v>5</v>
      </c>
      <c r="G4" s="100">
        <f t="shared" si="0"/>
        <v>7</v>
      </c>
      <c r="H4" s="100">
        <f t="shared" si="0"/>
        <v>9</v>
      </c>
      <c r="I4" s="100">
        <f t="shared" si="0"/>
        <v>11</v>
      </c>
      <c r="J4" s="100">
        <f t="shared" si="0"/>
        <v>13</v>
      </c>
      <c r="K4" s="100">
        <f t="shared" si="0"/>
        <v>15</v>
      </c>
      <c r="L4" s="100">
        <f t="shared" si="0"/>
        <v>17</v>
      </c>
      <c r="M4" s="100">
        <f t="shared" si="0"/>
        <v>19</v>
      </c>
      <c r="N4" s="100">
        <f t="shared" si="0"/>
        <v>21</v>
      </c>
      <c r="O4" s="100">
        <f t="shared" si="0"/>
        <v>23</v>
      </c>
      <c r="P4" s="100">
        <f t="shared" si="0"/>
        <v>25</v>
      </c>
      <c r="Q4" s="100">
        <f t="shared" si="0"/>
        <v>27</v>
      </c>
      <c r="R4" s="100">
        <f t="shared" si="0"/>
        <v>29</v>
      </c>
      <c r="S4" s="100">
        <f t="shared" si="0"/>
        <v>31</v>
      </c>
      <c r="T4" s="100">
        <f t="shared" si="0"/>
        <v>33</v>
      </c>
      <c r="U4" s="100">
        <f t="shared" si="0"/>
        <v>35</v>
      </c>
      <c r="V4" s="100">
        <f t="shared" si="0"/>
        <v>37</v>
      </c>
      <c r="W4" s="100">
        <f t="shared" si="0"/>
        <v>39</v>
      </c>
      <c r="X4" s="100">
        <f t="shared" si="0"/>
        <v>41</v>
      </c>
      <c r="Y4" s="101">
        <f t="shared" si="0"/>
        <v>43</v>
      </c>
    </row>
    <row r="5" spans="1:25" s="3" customFormat="1" ht="15" customHeight="1" x14ac:dyDescent="0.3">
      <c r="A5" s="102">
        <v>1</v>
      </c>
      <c r="B5" s="97" t="s">
        <v>41</v>
      </c>
      <c r="C5" s="96" t="s">
        <v>83</v>
      </c>
      <c r="D5" s="74"/>
      <c r="E5" s="74">
        <v>0.21875</v>
      </c>
      <c r="F5" s="74"/>
      <c r="G5" s="74">
        <v>0.26041666666666669</v>
      </c>
      <c r="H5" s="74"/>
      <c r="I5" s="74">
        <v>0.30208333333333331</v>
      </c>
      <c r="J5" s="74"/>
      <c r="K5" s="74"/>
      <c r="L5" s="74"/>
      <c r="M5" s="74"/>
      <c r="N5" s="74"/>
      <c r="O5" s="74"/>
      <c r="P5" s="74"/>
      <c r="Q5" s="74">
        <v>0.59375</v>
      </c>
      <c r="R5" s="74"/>
      <c r="S5" s="74">
        <v>0.63541666666666663</v>
      </c>
      <c r="T5" s="74"/>
      <c r="U5" s="74">
        <v>0.67708333333333337</v>
      </c>
      <c r="V5" s="74"/>
      <c r="W5" s="74">
        <v>0.71875</v>
      </c>
      <c r="X5" s="74"/>
      <c r="Y5" s="103">
        <v>0.84375</v>
      </c>
    </row>
    <row r="6" spans="1:25" s="3" customFormat="1" ht="15" customHeight="1" x14ac:dyDescent="0.3">
      <c r="A6" s="102">
        <v>2</v>
      </c>
      <c r="B6" s="97" t="s">
        <v>43</v>
      </c>
      <c r="C6" s="96"/>
      <c r="D6" s="74"/>
      <c r="E6" s="74">
        <f t="shared" ref="E6:Y8" si="1">E5+"0:02"</f>
        <v>0.22013888888888888</v>
      </c>
      <c r="F6" s="74"/>
      <c r="G6" s="74">
        <f t="shared" si="1"/>
        <v>0.26180555555555557</v>
      </c>
      <c r="H6" s="74"/>
      <c r="I6" s="74">
        <f t="shared" si="1"/>
        <v>0.3034722222222222</v>
      </c>
      <c r="J6" s="74"/>
      <c r="K6" s="74"/>
      <c r="L6" s="74"/>
      <c r="M6" s="74"/>
      <c r="N6" s="74"/>
      <c r="O6" s="74"/>
      <c r="P6" s="74"/>
      <c r="Q6" s="74">
        <f t="shared" si="1"/>
        <v>0.59513888888888888</v>
      </c>
      <c r="R6" s="74"/>
      <c r="S6" s="74">
        <f t="shared" si="1"/>
        <v>0.63680555555555551</v>
      </c>
      <c r="T6" s="74"/>
      <c r="U6" s="74">
        <f t="shared" si="1"/>
        <v>0.67847222222222225</v>
      </c>
      <c r="V6" s="74"/>
      <c r="W6" s="74">
        <f t="shared" si="1"/>
        <v>0.72013888888888888</v>
      </c>
      <c r="X6" s="74"/>
      <c r="Y6" s="103">
        <f t="shared" si="1"/>
        <v>0.84513888888888888</v>
      </c>
    </row>
    <row r="7" spans="1:25" s="3" customFormat="1" ht="15" customHeight="1" x14ac:dyDescent="0.3">
      <c r="A7" s="102">
        <v>3</v>
      </c>
      <c r="B7" s="97" t="s">
        <v>39</v>
      </c>
      <c r="C7" s="96"/>
      <c r="D7" s="74"/>
      <c r="E7" s="74">
        <f t="shared" si="1"/>
        <v>0.22152777777777777</v>
      </c>
      <c r="F7" s="74"/>
      <c r="G7" s="74">
        <f t="shared" si="1"/>
        <v>0.26319444444444445</v>
      </c>
      <c r="H7" s="74"/>
      <c r="I7" s="74">
        <f t="shared" si="1"/>
        <v>0.30486111111111108</v>
      </c>
      <c r="J7" s="74"/>
      <c r="K7" s="74"/>
      <c r="L7" s="74"/>
      <c r="M7" s="74"/>
      <c r="N7" s="74"/>
      <c r="O7" s="74"/>
      <c r="P7" s="74"/>
      <c r="Q7" s="74">
        <f t="shared" si="1"/>
        <v>0.59652777777777777</v>
      </c>
      <c r="R7" s="74"/>
      <c r="S7" s="74">
        <f t="shared" si="1"/>
        <v>0.6381944444444444</v>
      </c>
      <c r="T7" s="74"/>
      <c r="U7" s="74">
        <f t="shared" si="1"/>
        <v>0.67986111111111114</v>
      </c>
      <c r="V7" s="74"/>
      <c r="W7" s="74">
        <f t="shared" si="1"/>
        <v>0.72152777777777777</v>
      </c>
      <c r="X7" s="74"/>
      <c r="Y7" s="103">
        <f t="shared" si="1"/>
        <v>0.84652777777777777</v>
      </c>
    </row>
    <row r="8" spans="1:25" s="3" customFormat="1" ht="15" customHeight="1" x14ac:dyDescent="0.3">
      <c r="A8" s="102">
        <v>4</v>
      </c>
      <c r="B8" s="97" t="s">
        <v>97</v>
      </c>
      <c r="C8" s="96" t="s">
        <v>84</v>
      </c>
      <c r="D8" s="74"/>
      <c r="E8" s="74">
        <f t="shared" si="1"/>
        <v>0.22291666666666665</v>
      </c>
      <c r="F8" s="74"/>
      <c r="G8" s="74">
        <f t="shared" si="1"/>
        <v>0.26458333333333334</v>
      </c>
      <c r="H8" s="74"/>
      <c r="I8" s="74">
        <f t="shared" si="1"/>
        <v>0.30624999999999997</v>
      </c>
      <c r="J8" s="74"/>
      <c r="K8" s="74"/>
      <c r="L8" s="74"/>
      <c r="M8" s="74"/>
      <c r="N8" s="74"/>
      <c r="O8" s="74"/>
      <c r="P8" s="74"/>
      <c r="Q8" s="74">
        <f t="shared" si="1"/>
        <v>0.59791666666666665</v>
      </c>
      <c r="R8" s="74"/>
      <c r="S8" s="74">
        <f t="shared" si="1"/>
        <v>0.63958333333333328</v>
      </c>
      <c r="T8" s="74"/>
      <c r="U8" s="74">
        <f t="shared" si="1"/>
        <v>0.68125000000000002</v>
      </c>
      <c r="V8" s="74"/>
      <c r="W8" s="74">
        <f t="shared" si="1"/>
        <v>0.72291666666666665</v>
      </c>
      <c r="X8" s="74"/>
      <c r="Y8" s="103">
        <f t="shared" si="1"/>
        <v>0.84791666666666665</v>
      </c>
    </row>
    <row r="9" spans="1:25" s="3" customFormat="1" ht="15" customHeight="1" x14ac:dyDescent="0.3">
      <c r="A9" s="102">
        <v>4</v>
      </c>
      <c r="B9" s="97" t="s">
        <v>97</v>
      </c>
      <c r="C9" s="96" t="s">
        <v>83</v>
      </c>
      <c r="D9" s="74">
        <v>0.20972222222222223</v>
      </c>
      <c r="E9" s="74">
        <v>0.22361111111111109</v>
      </c>
      <c r="F9" s="74">
        <v>0.25138888888888899</v>
      </c>
      <c r="G9" s="74">
        <v>0.26527777777777778</v>
      </c>
      <c r="H9" s="74">
        <v>0.29305555555555601</v>
      </c>
      <c r="I9" s="74">
        <v>0.30694444444444441</v>
      </c>
      <c r="J9" s="74">
        <v>0.33472222222222198</v>
      </c>
      <c r="K9" s="74">
        <v>0.37638888888888899</v>
      </c>
      <c r="L9" s="74">
        <v>0.41805555555555601</v>
      </c>
      <c r="M9" s="74">
        <v>0.45972222222222198</v>
      </c>
      <c r="N9" s="74">
        <v>0.50138888888888899</v>
      </c>
      <c r="O9" s="74">
        <v>0.54305555555555596</v>
      </c>
      <c r="P9" s="74">
        <v>0.58472222222222203</v>
      </c>
      <c r="Q9" s="74">
        <v>0.59861111111111109</v>
      </c>
      <c r="R9" s="74">
        <v>0.62638888888888899</v>
      </c>
      <c r="S9" s="74">
        <v>0.64027777777777783</v>
      </c>
      <c r="T9" s="74">
        <v>0.66805555555555596</v>
      </c>
      <c r="U9" s="74">
        <v>0.68194444444444446</v>
      </c>
      <c r="V9" s="74">
        <v>0.70972222222222203</v>
      </c>
      <c r="W9" s="74">
        <v>0.72361111111111109</v>
      </c>
      <c r="X9" s="74">
        <v>0.75138888888888899</v>
      </c>
      <c r="Y9" s="103">
        <v>0.84861111111111109</v>
      </c>
    </row>
    <row r="10" spans="1:25" s="3" customFormat="1" ht="15" customHeight="1" x14ac:dyDescent="0.3">
      <c r="A10" s="102">
        <v>5</v>
      </c>
      <c r="B10" s="97" t="s">
        <v>44</v>
      </c>
      <c r="C10" s="96"/>
      <c r="D10" s="74">
        <f>D9+"0:03"</f>
        <v>0.21180555555555555</v>
      </c>
      <c r="E10" s="74">
        <f t="shared" ref="E10" si="2">E9+"0:03"</f>
        <v>0.22569444444444442</v>
      </c>
      <c r="F10" s="74">
        <f>F9+"0:03"</f>
        <v>0.25347222222222232</v>
      </c>
      <c r="G10" s="74">
        <f>G9+"0:03"</f>
        <v>0.2673611111111111</v>
      </c>
      <c r="H10" s="74">
        <f t="shared" ref="H10:I11" si="3">H9+"0:03"</f>
        <v>0.29513888888888934</v>
      </c>
      <c r="I10" s="74">
        <f t="shared" si="3"/>
        <v>0.30902777777777773</v>
      </c>
      <c r="J10" s="74">
        <f t="shared" ref="J10:K11" si="4">J9+"0:03"</f>
        <v>0.3368055555555553</v>
      </c>
      <c r="K10" s="74">
        <f t="shared" si="4"/>
        <v>0.37847222222222232</v>
      </c>
      <c r="L10" s="74">
        <f t="shared" ref="L10:M11" si="5">L9+"0:03"</f>
        <v>0.42013888888888934</v>
      </c>
      <c r="M10" s="74">
        <f t="shared" si="5"/>
        <v>0.4618055555555553</v>
      </c>
      <c r="N10" s="74">
        <f t="shared" ref="N10:N11" si="6">N9+"0:03"</f>
        <v>0.50347222222222232</v>
      </c>
      <c r="O10" s="74">
        <f t="shared" ref="O10:X11" si="7">O9+"0:03"</f>
        <v>0.54513888888888928</v>
      </c>
      <c r="P10" s="74">
        <f t="shared" si="7"/>
        <v>0.58680555555555536</v>
      </c>
      <c r="Q10" s="74">
        <f t="shared" ref="Q10" si="8">Q9+"0:03"</f>
        <v>0.60069444444444442</v>
      </c>
      <c r="R10" s="74">
        <f t="shared" si="7"/>
        <v>0.62847222222222232</v>
      </c>
      <c r="S10" s="74">
        <f t="shared" ref="S10" si="9">S9+"0:03"</f>
        <v>0.64236111111111116</v>
      </c>
      <c r="T10" s="74">
        <f t="shared" si="7"/>
        <v>0.67013888888888928</v>
      </c>
      <c r="U10" s="74">
        <f t="shared" ref="U10" si="10">U9+"0:03"</f>
        <v>0.68402777777777779</v>
      </c>
      <c r="V10" s="74">
        <f t="shared" si="7"/>
        <v>0.71180555555555536</v>
      </c>
      <c r="W10" s="74">
        <f t="shared" ref="W10" si="11">W9+"0:03"</f>
        <v>0.72569444444444442</v>
      </c>
      <c r="X10" s="74">
        <f t="shared" si="7"/>
        <v>0.75347222222222232</v>
      </c>
      <c r="Y10" s="103">
        <f t="shared" ref="Y10" si="12">Y9+"0:03"</f>
        <v>0.85069444444444442</v>
      </c>
    </row>
    <row r="11" spans="1:25" s="3" customFormat="1" ht="15" customHeight="1" x14ac:dyDescent="0.3">
      <c r="A11" s="102">
        <v>6</v>
      </c>
      <c r="B11" s="97" t="s">
        <v>45</v>
      </c>
      <c r="C11" s="96"/>
      <c r="D11" s="74">
        <f t="shared" ref="D11:E11" si="13">D10+"0:03"</f>
        <v>0.21388888888888888</v>
      </c>
      <c r="E11" s="74">
        <f t="shared" si="13"/>
        <v>0.22777777777777775</v>
      </c>
      <c r="F11" s="74">
        <f>F10+"0:03"</f>
        <v>0.25555555555555565</v>
      </c>
      <c r="G11" s="74">
        <f>G10+"0:03"</f>
        <v>0.26944444444444443</v>
      </c>
      <c r="H11" s="74">
        <f t="shared" si="3"/>
        <v>0.29722222222222267</v>
      </c>
      <c r="I11" s="74">
        <f t="shared" si="3"/>
        <v>0.31111111111111106</v>
      </c>
      <c r="J11" s="74">
        <f t="shared" si="4"/>
        <v>0.33888888888888863</v>
      </c>
      <c r="K11" s="74">
        <f t="shared" si="4"/>
        <v>0.38055555555555565</v>
      </c>
      <c r="L11" s="74">
        <f t="shared" si="5"/>
        <v>0.42222222222222267</v>
      </c>
      <c r="M11" s="74">
        <f t="shared" si="5"/>
        <v>0.46388888888888863</v>
      </c>
      <c r="N11" s="74">
        <f t="shared" si="6"/>
        <v>0.50555555555555565</v>
      </c>
      <c r="O11" s="74">
        <f t="shared" si="7"/>
        <v>0.54722222222222261</v>
      </c>
      <c r="P11" s="74">
        <f t="shared" si="7"/>
        <v>0.58888888888888868</v>
      </c>
      <c r="Q11" s="74">
        <f t="shared" ref="Q11" si="14">Q10+"0:03"</f>
        <v>0.60277777777777775</v>
      </c>
      <c r="R11" s="74">
        <f t="shared" si="7"/>
        <v>0.63055555555555565</v>
      </c>
      <c r="S11" s="74">
        <f t="shared" ref="S11" si="15">S10+"0:03"</f>
        <v>0.64444444444444449</v>
      </c>
      <c r="T11" s="74">
        <f t="shared" si="7"/>
        <v>0.67222222222222261</v>
      </c>
      <c r="U11" s="74">
        <f t="shared" ref="U11" si="16">U10+"0:03"</f>
        <v>0.68611111111111112</v>
      </c>
      <c r="V11" s="74">
        <f t="shared" si="7"/>
        <v>0.71388888888888868</v>
      </c>
      <c r="W11" s="74">
        <f t="shared" ref="W11" si="17">W10+"0:03"</f>
        <v>0.72777777777777775</v>
      </c>
      <c r="X11" s="74">
        <f t="shared" si="7"/>
        <v>0.75555555555555565</v>
      </c>
      <c r="Y11" s="103">
        <f t="shared" ref="Y11" si="18">Y10+"0:03"</f>
        <v>0.85277777777777775</v>
      </c>
    </row>
    <row r="12" spans="1:25" s="3" customFormat="1" ht="15" customHeight="1" x14ac:dyDescent="0.3">
      <c r="A12" s="102">
        <v>7</v>
      </c>
      <c r="B12" s="97" t="s">
        <v>46</v>
      </c>
      <c r="C12" s="96"/>
      <c r="D12" s="74">
        <f t="shared" ref="D12:M12" si="19">D11+"0:02"</f>
        <v>0.21527777777777776</v>
      </c>
      <c r="E12" s="74">
        <f t="shared" ref="E12" si="20">E11+"0:02"</f>
        <v>0.22916666666666663</v>
      </c>
      <c r="F12" s="74">
        <f>F11+"0:02"</f>
        <v>0.25694444444444453</v>
      </c>
      <c r="G12" s="74">
        <f>G11+"0:02"</f>
        <v>0.27083333333333331</v>
      </c>
      <c r="H12" s="74">
        <f t="shared" si="19"/>
        <v>0.29861111111111155</v>
      </c>
      <c r="I12" s="74">
        <f t="shared" ref="I12" si="21">I11+"0:02"</f>
        <v>0.31249999999999994</v>
      </c>
      <c r="J12" s="74">
        <f t="shared" si="19"/>
        <v>0.34027777777777751</v>
      </c>
      <c r="K12" s="74">
        <f t="shared" si="19"/>
        <v>0.38194444444444453</v>
      </c>
      <c r="L12" s="74">
        <f t="shared" si="19"/>
        <v>0.42361111111111155</v>
      </c>
      <c r="M12" s="74">
        <f t="shared" si="19"/>
        <v>0.46527777777777751</v>
      </c>
      <c r="N12" s="74">
        <f t="shared" ref="N12" si="22">N11+"0:02"</f>
        <v>0.50694444444444453</v>
      </c>
      <c r="O12" s="74">
        <f t="shared" ref="O12:U12" si="23">O11+"0:02"</f>
        <v>0.54861111111111149</v>
      </c>
      <c r="P12" s="74">
        <f t="shared" si="23"/>
        <v>0.59027777777777757</v>
      </c>
      <c r="Q12" s="74">
        <f t="shared" ref="Q12" si="24">Q11+"0:02"</f>
        <v>0.60416666666666663</v>
      </c>
      <c r="R12" s="74">
        <f t="shared" si="23"/>
        <v>0.63194444444444453</v>
      </c>
      <c r="S12" s="74">
        <f t="shared" ref="S12" si="25">S11+"0:02"</f>
        <v>0.64583333333333337</v>
      </c>
      <c r="T12" s="74">
        <f t="shared" si="23"/>
        <v>0.67361111111111149</v>
      </c>
      <c r="U12" s="74">
        <f t="shared" si="23"/>
        <v>0.6875</v>
      </c>
      <c r="V12" s="74">
        <f t="shared" ref="V12:X12" si="26">V11+"0:02"</f>
        <v>0.71527777777777757</v>
      </c>
      <c r="W12" s="74">
        <f t="shared" ref="W12" si="27">W11+"0:02"</f>
        <v>0.72916666666666663</v>
      </c>
      <c r="X12" s="74">
        <f t="shared" si="26"/>
        <v>0.75694444444444453</v>
      </c>
      <c r="Y12" s="103">
        <f t="shared" ref="Y12" si="28">Y11+"0:02"</f>
        <v>0.85416666666666663</v>
      </c>
    </row>
    <row r="13" spans="1:25" s="3" customFormat="1" ht="15" customHeight="1" x14ac:dyDescent="0.3">
      <c r="A13" s="102">
        <v>8</v>
      </c>
      <c r="B13" s="97" t="s">
        <v>47</v>
      </c>
      <c r="C13" s="96"/>
      <c r="D13" s="74">
        <f t="shared" ref="D13:M18" si="29">D12+"0:01"</f>
        <v>0.2159722222222222</v>
      </c>
      <c r="E13" s="74">
        <f t="shared" ref="E13" si="30">E12+"0:01"</f>
        <v>0.22986111111111107</v>
      </c>
      <c r="F13" s="74">
        <f t="shared" ref="F13:G18" si="31">F12+"0:01"</f>
        <v>0.25763888888888897</v>
      </c>
      <c r="G13" s="74">
        <f t="shared" si="31"/>
        <v>0.27152777777777776</v>
      </c>
      <c r="H13" s="74">
        <f t="shared" si="29"/>
        <v>0.29930555555555599</v>
      </c>
      <c r="I13" s="74">
        <f t="shared" ref="I13" si="32">I12+"0:01"</f>
        <v>0.31319444444444439</v>
      </c>
      <c r="J13" s="74">
        <f t="shared" si="29"/>
        <v>0.34097222222222195</v>
      </c>
      <c r="K13" s="74">
        <f t="shared" si="29"/>
        <v>0.38263888888888897</v>
      </c>
      <c r="L13" s="74">
        <f t="shared" si="29"/>
        <v>0.42430555555555599</v>
      </c>
      <c r="M13" s="74">
        <f t="shared" si="29"/>
        <v>0.46597222222222195</v>
      </c>
      <c r="N13" s="74">
        <f t="shared" ref="N13" si="33">N12+"0:01"</f>
        <v>0.50763888888888897</v>
      </c>
      <c r="O13" s="74">
        <f t="shared" ref="O13:X13" si="34">O12+"0:01"</f>
        <v>0.54930555555555594</v>
      </c>
      <c r="P13" s="74">
        <f t="shared" si="34"/>
        <v>0.59097222222222201</v>
      </c>
      <c r="Q13" s="74">
        <f t="shared" ref="Q13" si="35">Q12+"0:01"</f>
        <v>0.60486111111111107</v>
      </c>
      <c r="R13" s="74">
        <f t="shared" si="34"/>
        <v>0.63263888888888897</v>
      </c>
      <c r="S13" s="74">
        <f t="shared" ref="S13" si="36">S12+"0:01"</f>
        <v>0.64652777777777781</v>
      </c>
      <c r="T13" s="74">
        <f t="shared" si="34"/>
        <v>0.67430555555555594</v>
      </c>
      <c r="U13" s="74">
        <f t="shared" ref="U13" si="37">U12+"0:01"</f>
        <v>0.68819444444444444</v>
      </c>
      <c r="V13" s="74">
        <f t="shared" si="34"/>
        <v>0.71597222222222201</v>
      </c>
      <c r="W13" s="74">
        <f t="shared" ref="W13" si="38">W12+"0:01"</f>
        <v>0.72986111111111107</v>
      </c>
      <c r="X13" s="74">
        <f t="shared" si="34"/>
        <v>0.75763888888888897</v>
      </c>
      <c r="Y13" s="103">
        <f t="shared" ref="Y13" si="39">Y12+"0:01"</f>
        <v>0.85486111111111107</v>
      </c>
    </row>
    <row r="14" spans="1:25" s="3" customFormat="1" ht="15" customHeight="1" x14ac:dyDescent="0.3">
      <c r="A14" s="102">
        <v>9</v>
      </c>
      <c r="B14" s="97" t="s">
        <v>48</v>
      </c>
      <c r="C14" s="96"/>
      <c r="D14" s="74">
        <f t="shared" ref="D14:E14" si="40">D13+"0:01"</f>
        <v>0.21666666666666665</v>
      </c>
      <c r="E14" s="74">
        <f t="shared" si="40"/>
        <v>0.23055555555555551</v>
      </c>
      <c r="F14" s="74">
        <f t="shared" si="31"/>
        <v>0.25833333333333341</v>
      </c>
      <c r="G14" s="74">
        <f t="shared" si="31"/>
        <v>0.2722222222222222</v>
      </c>
      <c r="H14" s="74">
        <f t="shared" si="29"/>
        <v>0.30000000000000043</v>
      </c>
      <c r="I14" s="74">
        <f t="shared" ref="I14" si="41">I13+"0:01"</f>
        <v>0.31388888888888883</v>
      </c>
      <c r="J14" s="74">
        <f t="shared" si="29"/>
        <v>0.3416666666666664</v>
      </c>
      <c r="K14" s="74">
        <f t="shared" si="29"/>
        <v>0.38333333333333341</v>
      </c>
      <c r="L14" s="74">
        <f t="shared" si="29"/>
        <v>0.42500000000000043</v>
      </c>
      <c r="M14" s="74">
        <f t="shared" si="29"/>
        <v>0.4666666666666664</v>
      </c>
      <c r="N14" s="74">
        <f t="shared" ref="N14" si="42">N13+"0:01"</f>
        <v>0.50833333333333341</v>
      </c>
      <c r="O14" s="74">
        <f t="shared" ref="O14:U14" si="43">O13+"0:01"</f>
        <v>0.55000000000000038</v>
      </c>
      <c r="P14" s="74">
        <f t="shared" si="43"/>
        <v>0.59166666666666645</v>
      </c>
      <c r="Q14" s="74">
        <f t="shared" ref="Q14" si="44">Q13+"0:01"</f>
        <v>0.60555555555555551</v>
      </c>
      <c r="R14" s="74">
        <f t="shared" si="43"/>
        <v>0.63333333333333341</v>
      </c>
      <c r="S14" s="74">
        <f t="shared" ref="S14" si="45">S13+"0:01"</f>
        <v>0.64722222222222225</v>
      </c>
      <c r="T14" s="74">
        <f t="shared" si="43"/>
        <v>0.67500000000000038</v>
      </c>
      <c r="U14" s="74">
        <f t="shared" si="43"/>
        <v>0.68888888888888888</v>
      </c>
      <c r="V14" s="74">
        <f t="shared" ref="V14:X14" si="46">V13+"0:01"</f>
        <v>0.71666666666666645</v>
      </c>
      <c r="W14" s="74">
        <f t="shared" ref="W14" si="47">W13+"0:01"</f>
        <v>0.73055555555555551</v>
      </c>
      <c r="X14" s="74">
        <f t="shared" si="46"/>
        <v>0.75833333333333341</v>
      </c>
      <c r="Y14" s="103">
        <f t="shared" ref="Y14" si="48">Y13+"0:01"</f>
        <v>0.85555555555555551</v>
      </c>
    </row>
    <row r="15" spans="1:25" s="3" customFormat="1" ht="15" customHeight="1" x14ac:dyDescent="0.3">
      <c r="A15" s="102">
        <v>10</v>
      </c>
      <c r="B15" s="97" t="s">
        <v>49</v>
      </c>
      <c r="C15" s="96"/>
      <c r="D15" s="74">
        <f t="shared" ref="D15:E15" si="49">D14+"0:01"</f>
        <v>0.21736111111111109</v>
      </c>
      <c r="E15" s="74">
        <f t="shared" si="49"/>
        <v>0.23124999999999996</v>
      </c>
      <c r="F15" s="74">
        <f t="shared" si="31"/>
        <v>0.25902777777777786</v>
      </c>
      <c r="G15" s="74">
        <f t="shared" si="31"/>
        <v>0.27291666666666664</v>
      </c>
      <c r="H15" s="74">
        <f t="shared" si="29"/>
        <v>0.30069444444444487</v>
      </c>
      <c r="I15" s="74">
        <f t="shared" ref="I15" si="50">I14+"0:01"</f>
        <v>0.31458333333333327</v>
      </c>
      <c r="J15" s="74">
        <f t="shared" si="29"/>
        <v>0.34236111111111084</v>
      </c>
      <c r="K15" s="74">
        <f t="shared" si="29"/>
        <v>0.38402777777777786</v>
      </c>
      <c r="L15" s="74">
        <f t="shared" si="29"/>
        <v>0.42569444444444487</v>
      </c>
      <c r="M15" s="74">
        <f t="shared" si="29"/>
        <v>0.46736111111111084</v>
      </c>
      <c r="N15" s="74">
        <f t="shared" ref="N15" si="51">N14+"0:01"</f>
        <v>0.50902777777777786</v>
      </c>
      <c r="O15" s="74">
        <f t="shared" ref="O15:U15" si="52">O14+"0:01"</f>
        <v>0.55069444444444482</v>
      </c>
      <c r="P15" s="74">
        <f t="shared" si="52"/>
        <v>0.59236111111111089</v>
      </c>
      <c r="Q15" s="74">
        <f t="shared" ref="Q15" si="53">Q14+"0:01"</f>
        <v>0.60624999999999996</v>
      </c>
      <c r="R15" s="74">
        <f t="shared" si="52"/>
        <v>0.63402777777777786</v>
      </c>
      <c r="S15" s="74">
        <f t="shared" ref="S15" si="54">S14+"0:01"</f>
        <v>0.6479166666666667</v>
      </c>
      <c r="T15" s="74">
        <f t="shared" si="52"/>
        <v>0.67569444444444482</v>
      </c>
      <c r="U15" s="74">
        <f t="shared" si="52"/>
        <v>0.68958333333333333</v>
      </c>
      <c r="V15" s="74">
        <f t="shared" ref="V15:X15" si="55">V14+"0:01"</f>
        <v>0.71736111111111089</v>
      </c>
      <c r="W15" s="74">
        <f t="shared" ref="W15" si="56">W14+"0:01"</f>
        <v>0.73124999999999996</v>
      </c>
      <c r="X15" s="74">
        <f t="shared" si="55"/>
        <v>0.75902777777777786</v>
      </c>
      <c r="Y15" s="103">
        <f t="shared" ref="Y15" si="57">Y14+"0:01"</f>
        <v>0.85624999999999996</v>
      </c>
    </row>
    <row r="16" spans="1:25" s="3" customFormat="1" ht="15" customHeight="1" x14ac:dyDescent="0.3">
      <c r="A16" s="102">
        <v>11</v>
      </c>
      <c r="B16" s="97" t="s">
        <v>50</v>
      </c>
      <c r="C16" s="96"/>
      <c r="D16" s="74">
        <f t="shared" ref="D16:E16" si="58">D15+"0:01"</f>
        <v>0.21805555555555553</v>
      </c>
      <c r="E16" s="74">
        <f t="shared" si="58"/>
        <v>0.2319444444444444</v>
      </c>
      <c r="F16" s="74">
        <f t="shared" si="31"/>
        <v>0.2597222222222223</v>
      </c>
      <c r="G16" s="74">
        <f t="shared" si="31"/>
        <v>0.27361111111111108</v>
      </c>
      <c r="H16" s="74">
        <f t="shared" si="29"/>
        <v>0.30138888888888932</v>
      </c>
      <c r="I16" s="74">
        <f t="shared" ref="I16" si="59">I15+"0:01"</f>
        <v>0.31527777777777771</v>
      </c>
      <c r="J16" s="74">
        <f t="shared" si="29"/>
        <v>0.34305555555555528</v>
      </c>
      <c r="K16" s="74">
        <f t="shared" si="29"/>
        <v>0.3847222222222223</v>
      </c>
      <c r="L16" s="74">
        <f t="shared" si="29"/>
        <v>0.42638888888888932</v>
      </c>
      <c r="M16" s="74">
        <f t="shared" si="29"/>
        <v>0.46805555555555528</v>
      </c>
      <c r="N16" s="74">
        <f t="shared" ref="N16" si="60">N15+"0:01"</f>
        <v>0.5097222222222223</v>
      </c>
      <c r="O16" s="74">
        <f t="shared" ref="O16:U16" si="61">O15+"0:01"</f>
        <v>0.55138888888888926</v>
      </c>
      <c r="P16" s="74">
        <f t="shared" si="61"/>
        <v>0.59305555555555534</v>
      </c>
      <c r="Q16" s="74">
        <f t="shared" ref="Q16" si="62">Q15+"0:01"</f>
        <v>0.6069444444444444</v>
      </c>
      <c r="R16" s="74">
        <f t="shared" si="61"/>
        <v>0.6347222222222223</v>
      </c>
      <c r="S16" s="74">
        <f t="shared" ref="S16" si="63">S15+"0:01"</f>
        <v>0.64861111111111114</v>
      </c>
      <c r="T16" s="74">
        <f t="shared" si="61"/>
        <v>0.67638888888888926</v>
      </c>
      <c r="U16" s="74">
        <f t="shared" si="61"/>
        <v>0.69027777777777777</v>
      </c>
      <c r="V16" s="74">
        <f t="shared" ref="V16:X16" si="64">V15+"0:01"</f>
        <v>0.71805555555555534</v>
      </c>
      <c r="W16" s="74">
        <f t="shared" ref="W16" si="65">W15+"0:01"</f>
        <v>0.7319444444444444</v>
      </c>
      <c r="X16" s="74">
        <f t="shared" si="64"/>
        <v>0.7597222222222223</v>
      </c>
      <c r="Y16" s="103">
        <f t="shared" ref="Y16" si="66">Y15+"0:01"</f>
        <v>0.8569444444444444</v>
      </c>
    </row>
    <row r="17" spans="1:35" s="3" customFormat="1" ht="15" customHeight="1" x14ac:dyDescent="0.3">
      <c r="A17" s="102">
        <v>12</v>
      </c>
      <c r="B17" s="97" t="s">
        <v>51</v>
      </c>
      <c r="C17" s="96"/>
      <c r="D17" s="74">
        <f t="shared" ref="D17:E17" si="67">D16+"0:01"</f>
        <v>0.21874999999999997</v>
      </c>
      <c r="E17" s="74">
        <f t="shared" si="67"/>
        <v>0.23263888888888884</v>
      </c>
      <c r="F17" s="74">
        <f t="shared" si="31"/>
        <v>0.26041666666666674</v>
      </c>
      <c r="G17" s="74">
        <f t="shared" si="31"/>
        <v>0.27430555555555552</v>
      </c>
      <c r="H17" s="74">
        <f t="shared" si="29"/>
        <v>0.30208333333333376</v>
      </c>
      <c r="I17" s="74">
        <f t="shared" ref="I17" si="68">I16+"0:01"</f>
        <v>0.31597222222222215</v>
      </c>
      <c r="J17" s="74">
        <f t="shared" si="29"/>
        <v>0.34374999999999972</v>
      </c>
      <c r="K17" s="74">
        <f t="shared" si="29"/>
        <v>0.38541666666666674</v>
      </c>
      <c r="L17" s="74">
        <f t="shared" si="29"/>
        <v>0.42708333333333376</v>
      </c>
      <c r="M17" s="74">
        <f t="shared" si="29"/>
        <v>0.46874999999999972</v>
      </c>
      <c r="N17" s="74">
        <f t="shared" ref="N17" si="69">N16+"0:01"</f>
        <v>0.51041666666666674</v>
      </c>
      <c r="O17" s="74">
        <f t="shared" ref="O17:U17" si="70">O16+"0:01"</f>
        <v>0.5520833333333337</v>
      </c>
      <c r="P17" s="74">
        <f t="shared" si="70"/>
        <v>0.59374999999999978</v>
      </c>
      <c r="Q17" s="74">
        <f t="shared" ref="Q17" si="71">Q16+"0:01"</f>
        <v>0.60763888888888884</v>
      </c>
      <c r="R17" s="74">
        <f t="shared" si="70"/>
        <v>0.63541666666666674</v>
      </c>
      <c r="S17" s="74">
        <f t="shared" ref="S17" si="72">S16+"0:01"</f>
        <v>0.64930555555555558</v>
      </c>
      <c r="T17" s="74">
        <f t="shared" si="70"/>
        <v>0.6770833333333337</v>
      </c>
      <c r="U17" s="74">
        <f t="shared" si="70"/>
        <v>0.69097222222222221</v>
      </c>
      <c r="V17" s="74">
        <f t="shared" ref="V17:X17" si="73">V16+"0:01"</f>
        <v>0.71874999999999978</v>
      </c>
      <c r="W17" s="74">
        <f t="shared" ref="W17" si="74">W16+"0:01"</f>
        <v>0.73263888888888884</v>
      </c>
      <c r="X17" s="74">
        <f t="shared" si="73"/>
        <v>0.76041666666666674</v>
      </c>
      <c r="Y17" s="103">
        <f t="shared" ref="Y17" si="75">Y16+"0:01"</f>
        <v>0.85763888888888884</v>
      </c>
    </row>
    <row r="18" spans="1:35" s="3" customFormat="1" ht="15" customHeight="1" thickBot="1" x14ac:dyDescent="0.35">
      <c r="A18" s="104">
        <v>13</v>
      </c>
      <c r="B18" s="105" t="s">
        <v>52</v>
      </c>
      <c r="C18" s="106" t="s">
        <v>84</v>
      </c>
      <c r="D18" s="107">
        <f t="shared" ref="D18:E18" si="76">D17+"0:01"</f>
        <v>0.21944444444444441</v>
      </c>
      <c r="E18" s="107">
        <f t="shared" si="76"/>
        <v>0.23333333333333328</v>
      </c>
      <c r="F18" s="107">
        <f t="shared" si="31"/>
        <v>0.26111111111111118</v>
      </c>
      <c r="G18" s="107">
        <f t="shared" si="31"/>
        <v>0.27499999999999997</v>
      </c>
      <c r="H18" s="107">
        <f t="shared" si="29"/>
        <v>0.3027777777777782</v>
      </c>
      <c r="I18" s="107">
        <f t="shared" ref="I18" si="77">I17+"0:01"</f>
        <v>0.3166666666666666</v>
      </c>
      <c r="J18" s="107">
        <f t="shared" si="29"/>
        <v>0.34444444444444416</v>
      </c>
      <c r="K18" s="107">
        <f t="shared" si="29"/>
        <v>0.38611111111111118</v>
      </c>
      <c r="L18" s="107">
        <f t="shared" si="29"/>
        <v>0.4277777777777782</v>
      </c>
      <c r="M18" s="107">
        <f t="shared" si="29"/>
        <v>0.46944444444444416</v>
      </c>
      <c r="N18" s="107">
        <f t="shared" ref="N18" si="78">N17+"0:01"</f>
        <v>0.51111111111111118</v>
      </c>
      <c r="O18" s="107">
        <f t="shared" ref="O18:U18" si="79">O17+"0:01"</f>
        <v>0.55277777777777815</v>
      </c>
      <c r="P18" s="107">
        <f t="shared" si="79"/>
        <v>0.59444444444444422</v>
      </c>
      <c r="Q18" s="107">
        <f t="shared" ref="Q18" si="80">Q17+"0:01"</f>
        <v>0.60833333333333328</v>
      </c>
      <c r="R18" s="107">
        <f t="shared" si="79"/>
        <v>0.63611111111111118</v>
      </c>
      <c r="S18" s="107">
        <f t="shared" ref="S18" si="81">S17+"0:01"</f>
        <v>0.65</v>
      </c>
      <c r="T18" s="107">
        <f t="shared" si="79"/>
        <v>0.67777777777777815</v>
      </c>
      <c r="U18" s="107">
        <f t="shared" si="79"/>
        <v>0.69166666666666665</v>
      </c>
      <c r="V18" s="107">
        <f t="shared" ref="V18:X18" si="82">V17+"0:01"</f>
        <v>0.71944444444444422</v>
      </c>
      <c r="W18" s="107">
        <f t="shared" ref="W18" si="83">W17+"0:01"</f>
        <v>0.73333333333333328</v>
      </c>
      <c r="X18" s="107">
        <f t="shared" si="82"/>
        <v>0.76111111111111118</v>
      </c>
      <c r="Y18" s="108">
        <f t="shared" ref="Y18" si="84">Y17+"0:01"</f>
        <v>0.85833333333333328</v>
      </c>
    </row>
    <row r="19" spans="1:35" s="10" customFormat="1" ht="15" customHeight="1" thickBot="1" x14ac:dyDescent="0.35">
      <c r="B19" s="13" t="s">
        <v>2</v>
      </c>
      <c r="C19" s="11"/>
      <c r="D19" s="75">
        <v>5.5</v>
      </c>
      <c r="E19" s="75">
        <v>7.6</v>
      </c>
      <c r="F19" s="75">
        <v>5.5</v>
      </c>
      <c r="G19" s="75">
        <v>7.6</v>
      </c>
      <c r="H19" s="75">
        <v>5.5</v>
      </c>
      <c r="I19" s="75">
        <v>7.6</v>
      </c>
      <c r="J19" s="75">
        <v>5.5</v>
      </c>
      <c r="K19" s="75">
        <v>5.5</v>
      </c>
      <c r="L19" s="75">
        <v>5.5</v>
      </c>
      <c r="M19" s="75">
        <v>5.5</v>
      </c>
      <c r="N19" s="75">
        <v>5.5</v>
      </c>
      <c r="O19" s="75">
        <v>5.5</v>
      </c>
      <c r="P19" s="75">
        <v>5.5</v>
      </c>
      <c r="Q19" s="75">
        <v>7.6</v>
      </c>
      <c r="R19" s="75">
        <v>5.5</v>
      </c>
      <c r="S19" s="75">
        <v>7.6</v>
      </c>
      <c r="T19" s="75">
        <v>5.5</v>
      </c>
      <c r="U19" s="75">
        <v>7.6</v>
      </c>
      <c r="V19" s="75">
        <v>5.5</v>
      </c>
      <c r="W19" s="75">
        <v>7.6</v>
      </c>
      <c r="X19" s="75">
        <v>5.5</v>
      </c>
      <c r="Y19" s="75">
        <v>7.6</v>
      </c>
      <c r="Z19" s="12">
        <f>SUM(D19:Y19)</f>
        <v>137.79999999999998</v>
      </c>
      <c r="AD19" s="11"/>
      <c r="AE19" s="11"/>
      <c r="AF19" s="11"/>
      <c r="AG19" s="11"/>
      <c r="AH19" s="11"/>
      <c r="AI19" s="11"/>
    </row>
    <row r="20" spans="1:35" s="3" customFormat="1" x14ac:dyDescent="0.3">
      <c r="C20" s="14"/>
      <c r="AI20" s="4"/>
    </row>
    <row r="21" spans="1:35" s="3" customFormat="1" x14ac:dyDescent="0.3">
      <c r="C21" s="14"/>
    </row>
    <row r="22" spans="1:35" s="7" customFormat="1" ht="18" customHeight="1" x14ac:dyDescent="0.3">
      <c r="A22" s="6" t="s">
        <v>0</v>
      </c>
      <c r="B22" s="6"/>
      <c r="C22" s="22"/>
      <c r="D22" s="6" t="s">
        <v>99</v>
      </c>
    </row>
    <row r="23" spans="1:35" s="7" customFormat="1" ht="18" customHeight="1" x14ac:dyDescent="0.3">
      <c r="A23" s="6"/>
      <c r="B23" s="6"/>
      <c r="C23" s="22"/>
      <c r="D23" s="6"/>
    </row>
    <row r="24" spans="1:35" s="7" customFormat="1" ht="15" customHeight="1" thickBot="1" x14ac:dyDescent="0.35">
      <c r="A24" s="8"/>
      <c r="B24" s="66" t="s">
        <v>15</v>
      </c>
    </row>
    <row r="25" spans="1:35" s="7" customFormat="1" ht="15" customHeight="1" x14ac:dyDescent="0.3">
      <c r="A25" s="109" t="s">
        <v>1</v>
      </c>
      <c r="B25" s="110"/>
      <c r="C25" s="111"/>
      <c r="D25" s="112">
        <v>2</v>
      </c>
      <c r="E25" s="112">
        <v>4</v>
      </c>
      <c r="F25" s="112">
        <v>6</v>
      </c>
      <c r="G25" s="112">
        <v>8</v>
      </c>
      <c r="H25" s="112">
        <v>10</v>
      </c>
      <c r="I25" s="112">
        <v>12</v>
      </c>
      <c r="J25" s="112">
        <v>14</v>
      </c>
      <c r="K25" s="112">
        <v>16</v>
      </c>
      <c r="L25" s="112">
        <v>18</v>
      </c>
      <c r="M25" s="112">
        <v>20</v>
      </c>
      <c r="N25" s="112">
        <v>22</v>
      </c>
      <c r="O25" s="112">
        <v>24</v>
      </c>
      <c r="P25" s="112">
        <v>26</v>
      </c>
      <c r="Q25" s="112">
        <v>28</v>
      </c>
      <c r="R25" s="112">
        <v>30</v>
      </c>
      <c r="S25" s="112">
        <v>32</v>
      </c>
      <c r="T25" s="112">
        <v>34</v>
      </c>
      <c r="U25" s="112">
        <v>36</v>
      </c>
      <c r="V25" s="112">
        <v>38</v>
      </c>
      <c r="W25" s="112">
        <v>40</v>
      </c>
      <c r="X25" s="112">
        <v>42</v>
      </c>
      <c r="Y25" s="112">
        <v>44</v>
      </c>
      <c r="Z25" s="112">
        <v>46</v>
      </c>
      <c r="AA25" s="112">
        <v>48</v>
      </c>
      <c r="AB25" s="113">
        <v>50</v>
      </c>
    </row>
    <row r="26" spans="1:35" s="18" customFormat="1" ht="15" customHeight="1" x14ac:dyDescent="0.3">
      <c r="A26" s="114">
        <v>13</v>
      </c>
      <c r="B26" s="95" t="s">
        <v>52</v>
      </c>
      <c r="C26" s="60" t="s">
        <v>83</v>
      </c>
      <c r="D26" s="73">
        <v>0.21180555555555555</v>
      </c>
      <c r="E26" s="73">
        <v>0.22222222222222221</v>
      </c>
      <c r="F26" s="73">
        <v>0.25347222222222199</v>
      </c>
      <c r="G26" s="73">
        <v>0.2638888888888889</v>
      </c>
      <c r="H26" s="73">
        <v>0.29513888888888901</v>
      </c>
      <c r="I26" s="73">
        <v>0.30555555555555552</v>
      </c>
      <c r="J26" s="73">
        <v>0.34722222222222227</v>
      </c>
      <c r="K26" s="73">
        <v>0.38888888888888901</v>
      </c>
      <c r="L26" s="73">
        <v>0.43055555555555602</v>
      </c>
      <c r="M26" s="73">
        <v>0.47222222222222199</v>
      </c>
      <c r="N26" s="73">
        <v>0.51388888888888895</v>
      </c>
      <c r="O26" s="73">
        <v>0.55555555555555558</v>
      </c>
      <c r="P26" s="73">
        <v>0.58680555555555558</v>
      </c>
      <c r="Q26" s="73">
        <v>0.59722222222222221</v>
      </c>
      <c r="R26" s="73">
        <v>0.62847222222222221</v>
      </c>
      <c r="S26" s="73">
        <v>0.63888888888888895</v>
      </c>
      <c r="T26" s="73">
        <v>0.67013888888888884</v>
      </c>
      <c r="U26" s="73">
        <v>0.68055555555555547</v>
      </c>
      <c r="V26" s="73">
        <v>0.71180555555555547</v>
      </c>
      <c r="W26" s="73">
        <v>0.72222222222222221</v>
      </c>
      <c r="X26" s="73">
        <v>0.75347222222222221</v>
      </c>
      <c r="Y26" s="73">
        <v>0.76388888888888884</v>
      </c>
      <c r="Z26" s="73">
        <v>0.81041666666666667</v>
      </c>
      <c r="AA26" s="73">
        <v>0.8520833333333333</v>
      </c>
      <c r="AB26" s="115">
        <v>0.89374999999999993</v>
      </c>
    </row>
    <row r="27" spans="1:35" s="18" customFormat="1" ht="15" customHeight="1" x14ac:dyDescent="0.3">
      <c r="A27" s="114">
        <v>12</v>
      </c>
      <c r="B27" s="95" t="s">
        <v>51</v>
      </c>
      <c r="C27" s="60"/>
      <c r="D27" s="74">
        <f t="shared" ref="D27:J27" si="85">D26+"0:01"</f>
        <v>0.21249999999999999</v>
      </c>
      <c r="E27" s="74">
        <f t="shared" ref="E27" si="86">E26+"0:01"</f>
        <v>0.22291666666666665</v>
      </c>
      <c r="F27" s="74">
        <f t="shared" si="85"/>
        <v>0.25416666666666643</v>
      </c>
      <c r="G27" s="74">
        <f t="shared" ref="G27" si="87">G26+"0:01"</f>
        <v>0.26458333333333334</v>
      </c>
      <c r="H27" s="74">
        <f t="shared" si="85"/>
        <v>0.29583333333333345</v>
      </c>
      <c r="I27" s="74">
        <f t="shared" ref="I27" si="88">I26+"0:01"</f>
        <v>0.30624999999999997</v>
      </c>
      <c r="J27" s="74">
        <f t="shared" si="85"/>
        <v>0.34791666666666671</v>
      </c>
      <c r="K27" s="74">
        <f>K26+"0:01"</f>
        <v>0.38958333333333345</v>
      </c>
      <c r="L27" s="74">
        <f t="shared" ref="L27:T27" si="89">L26+"0:01"</f>
        <v>0.43125000000000047</v>
      </c>
      <c r="M27" s="74">
        <f t="shared" si="89"/>
        <v>0.47291666666666643</v>
      </c>
      <c r="N27" s="74">
        <f t="shared" si="89"/>
        <v>0.51458333333333339</v>
      </c>
      <c r="O27" s="74">
        <f t="shared" si="89"/>
        <v>0.55625000000000002</v>
      </c>
      <c r="P27" s="74">
        <f t="shared" si="89"/>
        <v>0.58750000000000002</v>
      </c>
      <c r="Q27" s="74">
        <f t="shared" si="89"/>
        <v>0.59791666666666665</v>
      </c>
      <c r="R27" s="74">
        <f t="shared" ref="R27" si="90">R26+"0:01"</f>
        <v>0.62916666666666665</v>
      </c>
      <c r="S27" s="74">
        <f t="shared" ref="S27" si="91">S26+"0:01"</f>
        <v>0.63958333333333339</v>
      </c>
      <c r="T27" s="74">
        <f t="shared" si="89"/>
        <v>0.67083333333333328</v>
      </c>
      <c r="U27" s="74">
        <f t="shared" ref="U27:AA27" si="92">U26+"0:01"</f>
        <v>0.68124999999999991</v>
      </c>
      <c r="V27" s="74">
        <f t="shared" si="92"/>
        <v>0.71249999999999991</v>
      </c>
      <c r="W27" s="74">
        <f t="shared" si="92"/>
        <v>0.72291666666666665</v>
      </c>
      <c r="X27" s="74">
        <f t="shared" ref="X27" si="93">X26+"0:01"</f>
        <v>0.75416666666666665</v>
      </c>
      <c r="Y27" s="74">
        <f t="shared" si="92"/>
        <v>0.76458333333333328</v>
      </c>
      <c r="Z27" s="74">
        <f t="shared" si="92"/>
        <v>0.81111111111111112</v>
      </c>
      <c r="AA27" s="74">
        <f t="shared" si="92"/>
        <v>0.85277777777777775</v>
      </c>
      <c r="AB27" s="103">
        <f t="shared" ref="AB27" si="94">AB26+"0:01"</f>
        <v>0.89444444444444438</v>
      </c>
    </row>
    <row r="28" spans="1:35" s="18" customFormat="1" ht="15" customHeight="1" x14ac:dyDescent="0.3">
      <c r="A28" s="114">
        <v>11</v>
      </c>
      <c r="B28" s="95" t="s">
        <v>50</v>
      </c>
      <c r="C28" s="60"/>
      <c r="D28" s="74">
        <f t="shared" ref="D28:J28" si="95">D27+"0:01"</f>
        <v>0.21319444444444444</v>
      </c>
      <c r="E28" s="74">
        <f t="shared" ref="E28" si="96">E27+"0:01"</f>
        <v>0.22361111111111109</v>
      </c>
      <c r="F28" s="74">
        <f t="shared" si="95"/>
        <v>0.25486111111111087</v>
      </c>
      <c r="G28" s="74">
        <f t="shared" ref="G28" si="97">G27+"0:01"</f>
        <v>0.26527777777777778</v>
      </c>
      <c r="H28" s="74">
        <f t="shared" si="95"/>
        <v>0.29652777777777789</v>
      </c>
      <c r="I28" s="74">
        <f t="shared" ref="I28" si="98">I27+"0:01"</f>
        <v>0.30694444444444441</v>
      </c>
      <c r="J28" s="74">
        <f t="shared" si="95"/>
        <v>0.34861111111111115</v>
      </c>
      <c r="K28" s="74">
        <f t="shared" ref="K28:S32" si="99">K27+"0:01"</f>
        <v>0.39027777777777789</v>
      </c>
      <c r="L28" s="74">
        <f t="shared" si="99"/>
        <v>0.43194444444444491</v>
      </c>
      <c r="M28" s="74">
        <f t="shared" si="99"/>
        <v>0.47361111111111087</v>
      </c>
      <c r="N28" s="74">
        <f t="shared" si="99"/>
        <v>0.51527777777777783</v>
      </c>
      <c r="O28" s="74">
        <f t="shared" si="99"/>
        <v>0.55694444444444446</v>
      </c>
      <c r="P28" s="74">
        <f t="shared" si="99"/>
        <v>0.58819444444444446</v>
      </c>
      <c r="Q28" s="74">
        <f t="shared" si="99"/>
        <v>0.59861111111111109</v>
      </c>
      <c r="R28" s="74">
        <f t="shared" si="99"/>
        <v>0.62986111111111109</v>
      </c>
      <c r="S28" s="74">
        <f t="shared" si="99"/>
        <v>0.64027777777777783</v>
      </c>
      <c r="T28" s="74">
        <f t="shared" ref="T28:AA28" si="100">T27+"0:01"</f>
        <v>0.67152777777777772</v>
      </c>
      <c r="U28" s="74">
        <f t="shared" si="100"/>
        <v>0.68194444444444435</v>
      </c>
      <c r="V28" s="74">
        <f t="shared" si="100"/>
        <v>0.71319444444444435</v>
      </c>
      <c r="W28" s="74">
        <f t="shared" si="100"/>
        <v>0.72361111111111109</v>
      </c>
      <c r="X28" s="74">
        <f t="shared" ref="X28" si="101">X27+"0:01"</f>
        <v>0.75486111111111109</v>
      </c>
      <c r="Y28" s="74">
        <f t="shared" si="100"/>
        <v>0.76527777777777772</v>
      </c>
      <c r="Z28" s="74">
        <f t="shared" si="100"/>
        <v>0.81180555555555556</v>
      </c>
      <c r="AA28" s="74">
        <f t="shared" si="100"/>
        <v>0.85347222222222219</v>
      </c>
      <c r="AB28" s="103">
        <f t="shared" ref="AB28" si="102">AB27+"0:01"</f>
        <v>0.89513888888888882</v>
      </c>
    </row>
    <row r="29" spans="1:35" s="18" customFormat="1" ht="15" customHeight="1" x14ac:dyDescent="0.3">
      <c r="A29" s="114">
        <v>10</v>
      </c>
      <c r="B29" s="95" t="s">
        <v>49</v>
      </c>
      <c r="C29" s="60"/>
      <c r="D29" s="74">
        <f t="shared" ref="D29:J29" si="103">D28+"0:01"</f>
        <v>0.21388888888888888</v>
      </c>
      <c r="E29" s="74">
        <f t="shared" ref="E29" si="104">E28+"0:01"</f>
        <v>0.22430555555555554</v>
      </c>
      <c r="F29" s="74">
        <f t="shared" si="103"/>
        <v>0.25555555555555531</v>
      </c>
      <c r="G29" s="74">
        <f t="shared" ref="G29" si="105">G28+"0:01"</f>
        <v>0.26597222222222222</v>
      </c>
      <c r="H29" s="74">
        <f t="shared" si="103"/>
        <v>0.29722222222222233</v>
      </c>
      <c r="I29" s="74">
        <f t="shared" ref="I29" si="106">I28+"0:01"</f>
        <v>0.30763888888888885</v>
      </c>
      <c r="J29" s="74">
        <f t="shared" si="103"/>
        <v>0.34930555555555559</v>
      </c>
      <c r="K29" s="74">
        <f t="shared" si="99"/>
        <v>0.39097222222222233</v>
      </c>
      <c r="L29" s="74">
        <f t="shared" si="99"/>
        <v>0.43263888888888935</v>
      </c>
      <c r="M29" s="74">
        <f t="shared" si="99"/>
        <v>0.47430555555555531</v>
      </c>
      <c r="N29" s="74">
        <f t="shared" si="99"/>
        <v>0.51597222222222228</v>
      </c>
      <c r="O29" s="74">
        <f t="shared" si="99"/>
        <v>0.55763888888888891</v>
      </c>
      <c r="P29" s="74">
        <f t="shared" si="99"/>
        <v>0.58888888888888891</v>
      </c>
      <c r="Q29" s="74">
        <f t="shared" si="99"/>
        <v>0.59930555555555554</v>
      </c>
      <c r="R29" s="74">
        <f t="shared" si="99"/>
        <v>0.63055555555555554</v>
      </c>
      <c r="S29" s="74">
        <f t="shared" si="99"/>
        <v>0.64097222222222228</v>
      </c>
      <c r="T29" s="74">
        <f t="shared" ref="T29:AA29" si="107">T28+"0:01"</f>
        <v>0.67222222222222217</v>
      </c>
      <c r="U29" s="74">
        <f t="shared" si="107"/>
        <v>0.6826388888888888</v>
      </c>
      <c r="V29" s="74">
        <f t="shared" si="107"/>
        <v>0.7138888888888888</v>
      </c>
      <c r="W29" s="74">
        <f t="shared" si="107"/>
        <v>0.72430555555555554</v>
      </c>
      <c r="X29" s="74">
        <f t="shared" ref="X29" si="108">X28+"0:01"</f>
        <v>0.75555555555555554</v>
      </c>
      <c r="Y29" s="74">
        <f t="shared" si="107"/>
        <v>0.76597222222222217</v>
      </c>
      <c r="Z29" s="74">
        <f t="shared" si="107"/>
        <v>0.8125</v>
      </c>
      <c r="AA29" s="74">
        <f t="shared" si="107"/>
        <v>0.85416666666666663</v>
      </c>
      <c r="AB29" s="103">
        <f t="shared" ref="AB29" si="109">AB28+"0:01"</f>
        <v>0.89583333333333326</v>
      </c>
    </row>
    <row r="30" spans="1:35" s="18" customFormat="1" ht="15" customHeight="1" x14ac:dyDescent="0.3">
      <c r="A30" s="114">
        <v>9</v>
      </c>
      <c r="B30" s="95" t="s">
        <v>48</v>
      </c>
      <c r="C30" s="60"/>
      <c r="D30" s="74">
        <f t="shared" ref="D30:J30" si="110">D29+"0:01"</f>
        <v>0.21458333333333332</v>
      </c>
      <c r="E30" s="74">
        <f t="shared" ref="E30" si="111">E29+"0:01"</f>
        <v>0.22499999999999998</v>
      </c>
      <c r="F30" s="74">
        <f t="shared" si="110"/>
        <v>0.25624999999999976</v>
      </c>
      <c r="G30" s="74">
        <f t="shared" ref="G30" si="112">G29+"0:01"</f>
        <v>0.26666666666666666</v>
      </c>
      <c r="H30" s="74">
        <f t="shared" si="110"/>
        <v>0.29791666666666677</v>
      </c>
      <c r="I30" s="74">
        <f t="shared" ref="I30" si="113">I29+"0:01"</f>
        <v>0.30833333333333329</v>
      </c>
      <c r="J30" s="74">
        <f t="shared" si="110"/>
        <v>0.35000000000000003</v>
      </c>
      <c r="K30" s="74">
        <f t="shared" si="99"/>
        <v>0.39166666666666677</v>
      </c>
      <c r="L30" s="74">
        <f t="shared" si="99"/>
        <v>0.43333333333333379</v>
      </c>
      <c r="M30" s="74">
        <f t="shared" si="99"/>
        <v>0.47499999999999976</v>
      </c>
      <c r="N30" s="74">
        <f t="shared" si="99"/>
        <v>0.51666666666666672</v>
      </c>
      <c r="O30" s="74">
        <f t="shared" si="99"/>
        <v>0.55833333333333335</v>
      </c>
      <c r="P30" s="74">
        <f t="shared" si="99"/>
        <v>0.58958333333333335</v>
      </c>
      <c r="Q30" s="74">
        <f t="shared" si="99"/>
        <v>0.6</v>
      </c>
      <c r="R30" s="74">
        <f t="shared" si="99"/>
        <v>0.63124999999999998</v>
      </c>
      <c r="S30" s="74">
        <f t="shared" si="99"/>
        <v>0.64166666666666672</v>
      </c>
      <c r="T30" s="74">
        <f t="shared" ref="T30:AA30" si="114">T29+"0:01"</f>
        <v>0.67291666666666661</v>
      </c>
      <c r="U30" s="74">
        <f t="shared" si="114"/>
        <v>0.68333333333333324</v>
      </c>
      <c r="V30" s="74">
        <f t="shared" si="114"/>
        <v>0.71458333333333324</v>
      </c>
      <c r="W30" s="74">
        <f t="shared" si="114"/>
        <v>0.72499999999999998</v>
      </c>
      <c r="X30" s="74">
        <f t="shared" ref="X30" si="115">X29+"0:01"</f>
        <v>0.75624999999999998</v>
      </c>
      <c r="Y30" s="74">
        <f t="shared" si="114"/>
        <v>0.76666666666666661</v>
      </c>
      <c r="Z30" s="74">
        <f t="shared" si="114"/>
        <v>0.81319444444444444</v>
      </c>
      <c r="AA30" s="74">
        <f t="shared" si="114"/>
        <v>0.85486111111111107</v>
      </c>
      <c r="AB30" s="103">
        <f t="shared" ref="AB30" si="116">AB29+"0:01"</f>
        <v>0.8965277777777777</v>
      </c>
    </row>
    <row r="31" spans="1:35" s="18" customFormat="1" ht="15" customHeight="1" x14ac:dyDescent="0.3">
      <c r="A31" s="114">
        <v>8</v>
      </c>
      <c r="B31" s="95" t="s">
        <v>47</v>
      </c>
      <c r="C31" s="60"/>
      <c r="D31" s="74">
        <f t="shared" ref="D31:J31" si="117">D30+"0:01"</f>
        <v>0.21527777777777776</v>
      </c>
      <c r="E31" s="74">
        <f t="shared" ref="E31" si="118">E30+"0:01"</f>
        <v>0.22569444444444442</v>
      </c>
      <c r="F31" s="74">
        <f t="shared" si="117"/>
        <v>0.2569444444444442</v>
      </c>
      <c r="G31" s="74">
        <f t="shared" ref="G31" si="119">G30+"0:01"</f>
        <v>0.2673611111111111</v>
      </c>
      <c r="H31" s="74">
        <f t="shared" si="117"/>
        <v>0.29861111111111122</v>
      </c>
      <c r="I31" s="74">
        <f t="shared" ref="I31" si="120">I30+"0:01"</f>
        <v>0.30902777777777773</v>
      </c>
      <c r="J31" s="74">
        <f t="shared" si="117"/>
        <v>0.35069444444444448</v>
      </c>
      <c r="K31" s="74">
        <f t="shared" si="99"/>
        <v>0.39236111111111122</v>
      </c>
      <c r="L31" s="74">
        <f t="shared" si="99"/>
        <v>0.43402777777777823</v>
      </c>
      <c r="M31" s="74">
        <f t="shared" si="99"/>
        <v>0.4756944444444442</v>
      </c>
      <c r="N31" s="74">
        <f t="shared" si="99"/>
        <v>0.51736111111111116</v>
      </c>
      <c r="O31" s="74">
        <f t="shared" si="99"/>
        <v>0.55902777777777779</v>
      </c>
      <c r="P31" s="74">
        <f t="shared" si="99"/>
        <v>0.59027777777777779</v>
      </c>
      <c r="Q31" s="74">
        <f t="shared" si="99"/>
        <v>0.60069444444444442</v>
      </c>
      <c r="R31" s="74">
        <f t="shared" si="99"/>
        <v>0.63194444444444442</v>
      </c>
      <c r="S31" s="74">
        <f t="shared" si="99"/>
        <v>0.64236111111111116</v>
      </c>
      <c r="T31" s="74">
        <f t="shared" ref="T31:AA31" si="121">T30+"0:01"</f>
        <v>0.67361111111111105</v>
      </c>
      <c r="U31" s="74">
        <f t="shared" si="121"/>
        <v>0.68402777777777768</v>
      </c>
      <c r="V31" s="74">
        <f t="shared" si="121"/>
        <v>0.71527777777777768</v>
      </c>
      <c r="W31" s="74">
        <f t="shared" si="121"/>
        <v>0.72569444444444442</v>
      </c>
      <c r="X31" s="74">
        <f t="shared" ref="X31" si="122">X30+"0:01"</f>
        <v>0.75694444444444442</v>
      </c>
      <c r="Y31" s="74">
        <f t="shared" si="121"/>
        <v>0.76736111111111105</v>
      </c>
      <c r="Z31" s="74">
        <f t="shared" si="121"/>
        <v>0.81388888888888888</v>
      </c>
      <c r="AA31" s="74">
        <f t="shared" si="121"/>
        <v>0.85555555555555551</v>
      </c>
      <c r="AB31" s="103">
        <f t="shared" ref="AB31" si="123">AB30+"0:01"</f>
        <v>0.89722222222222214</v>
      </c>
    </row>
    <row r="32" spans="1:35" s="18" customFormat="1" ht="15" customHeight="1" x14ac:dyDescent="0.3">
      <c r="A32" s="114">
        <v>7</v>
      </c>
      <c r="B32" s="95" t="s">
        <v>46</v>
      </c>
      <c r="C32" s="60"/>
      <c r="D32" s="74">
        <f t="shared" ref="D32:J32" si="124">D31+"0:01"</f>
        <v>0.2159722222222222</v>
      </c>
      <c r="E32" s="74">
        <f t="shared" ref="E32" si="125">E31+"0:01"</f>
        <v>0.22638888888888886</v>
      </c>
      <c r="F32" s="74">
        <f t="shared" si="124"/>
        <v>0.25763888888888864</v>
      </c>
      <c r="G32" s="74">
        <f t="shared" ref="G32" si="126">G31+"0:01"</f>
        <v>0.26805555555555555</v>
      </c>
      <c r="H32" s="74">
        <f t="shared" si="124"/>
        <v>0.29930555555555566</v>
      </c>
      <c r="I32" s="74">
        <f t="shared" ref="I32" si="127">I31+"0:01"</f>
        <v>0.30972222222222218</v>
      </c>
      <c r="J32" s="74">
        <f t="shared" si="124"/>
        <v>0.35138888888888892</v>
      </c>
      <c r="K32" s="74">
        <f t="shared" si="99"/>
        <v>0.39305555555555566</v>
      </c>
      <c r="L32" s="74">
        <f t="shared" si="99"/>
        <v>0.43472222222222268</v>
      </c>
      <c r="M32" s="74">
        <f t="shared" si="99"/>
        <v>0.47638888888888864</v>
      </c>
      <c r="N32" s="74">
        <f t="shared" si="99"/>
        <v>0.5180555555555556</v>
      </c>
      <c r="O32" s="74">
        <f t="shared" si="99"/>
        <v>0.55972222222222223</v>
      </c>
      <c r="P32" s="74">
        <f t="shared" si="99"/>
        <v>0.59097222222222223</v>
      </c>
      <c r="Q32" s="74">
        <f t="shared" si="99"/>
        <v>0.60138888888888886</v>
      </c>
      <c r="R32" s="74">
        <f t="shared" si="99"/>
        <v>0.63263888888888886</v>
      </c>
      <c r="S32" s="74">
        <f t="shared" si="99"/>
        <v>0.6430555555555556</v>
      </c>
      <c r="T32" s="74">
        <f t="shared" ref="T32:AA32" si="128">T31+"0:01"</f>
        <v>0.67430555555555549</v>
      </c>
      <c r="U32" s="74">
        <f t="shared" si="128"/>
        <v>0.68472222222222212</v>
      </c>
      <c r="V32" s="74">
        <f t="shared" si="128"/>
        <v>0.71597222222222212</v>
      </c>
      <c r="W32" s="74">
        <f t="shared" si="128"/>
        <v>0.72638888888888886</v>
      </c>
      <c r="X32" s="74">
        <f t="shared" ref="X32" si="129">X31+"0:01"</f>
        <v>0.75763888888888886</v>
      </c>
      <c r="Y32" s="74">
        <f t="shared" si="128"/>
        <v>0.76805555555555549</v>
      </c>
      <c r="Z32" s="74">
        <f t="shared" si="128"/>
        <v>0.81458333333333333</v>
      </c>
      <c r="AA32" s="74">
        <f t="shared" si="128"/>
        <v>0.85624999999999996</v>
      </c>
      <c r="AB32" s="103">
        <f t="shared" ref="AB32" si="130">AB31+"0:01"</f>
        <v>0.89791666666666659</v>
      </c>
    </row>
    <row r="33" spans="1:38" s="18" customFormat="1" ht="15" customHeight="1" x14ac:dyDescent="0.3">
      <c r="A33" s="114">
        <v>6</v>
      </c>
      <c r="B33" s="95" t="s">
        <v>45</v>
      </c>
      <c r="C33" s="60"/>
      <c r="D33" s="74">
        <f t="shared" ref="D33:J33" si="131">D32+"0:02"</f>
        <v>0.21736111111111109</v>
      </c>
      <c r="E33" s="74">
        <f t="shared" ref="E33" si="132">E32+"0:02"</f>
        <v>0.22777777777777775</v>
      </c>
      <c r="F33" s="74">
        <f t="shared" si="131"/>
        <v>0.25902777777777752</v>
      </c>
      <c r="G33" s="74">
        <f t="shared" ref="G33" si="133">G32+"0:02"</f>
        <v>0.26944444444444443</v>
      </c>
      <c r="H33" s="74">
        <f t="shared" si="131"/>
        <v>0.30069444444444454</v>
      </c>
      <c r="I33" s="74">
        <f t="shared" ref="I33" si="134">I32+"0:02"</f>
        <v>0.31111111111111106</v>
      </c>
      <c r="J33" s="74">
        <f t="shared" si="131"/>
        <v>0.3527777777777778</v>
      </c>
      <c r="K33" s="74">
        <f>K32+"0:02"</f>
        <v>0.39444444444444454</v>
      </c>
      <c r="L33" s="74">
        <f t="shared" ref="L33:T33" si="135">L32+"0:02"</f>
        <v>0.43611111111111156</v>
      </c>
      <c r="M33" s="74">
        <f t="shared" si="135"/>
        <v>0.47777777777777752</v>
      </c>
      <c r="N33" s="74">
        <f t="shared" si="135"/>
        <v>0.51944444444444449</v>
      </c>
      <c r="O33" s="74">
        <f t="shared" si="135"/>
        <v>0.56111111111111112</v>
      </c>
      <c r="P33" s="74">
        <f t="shared" si="135"/>
        <v>0.59236111111111112</v>
      </c>
      <c r="Q33" s="74">
        <f t="shared" si="135"/>
        <v>0.60277777777777775</v>
      </c>
      <c r="R33" s="74">
        <f t="shared" ref="R33" si="136">R32+"0:02"</f>
        <v>0.63402777777777775</v>
      </c>
      <c r="S33" s="74">
        <f t="shared" ref="S33" si="137">S32+"0:02"</f>
        <v>0.64444444444444449</v>
      </c>
      <c r="T33" s="74">
        <f t="shared" si="135"/>
        <v>0.67569444444444438</v>
      </c>
      <c r="U33" s="74">
        <f t="shared" ref="U33:AA33" si="138">U32+"0:02"</f>
        <v>0.68611111111111101</v>
      </c>
      <c r="V33" s="74">
        <f t="shared" si="138"/>
        <v>0.71736111111111101</v>
      </c>
      <c r="W33" s="74">
        <f t="shared" si="138"/>
        <v>0.72777777777777775</v>
      </c>
      <c r="X33" s="74">
        <f t="shared" ref="X33" si="139">X32+"0:02"</f>
        <v>0.75902777777777775</v>
      </c>
      <c r="Y33" s="74">
        <f t="shared" si="138"/>
        <v>0.76944444444444438</v>
      </c>
      <c r="Z33" s="74">
        <f t="shared" si="138"/>
        <v>0.81597222222222221</v>
      </c>
      <c r="AA33" s="74">
        <f t="shared" si="138"/>
        <v>0.85763888888888884</v>
      </c>
      <c r="AB33" s="103">
        <f t="shared" ref="AB33" si="140">AB32+"0:02"</f>
        <v>0.89930555555555547</v>
      </c>
    </row>
    <row r="34" spans="1:38" s="18" customFormat="1" ht="15" customHeight="1" x14ac:dyDescent="0.3">
      <c r="A34" s="114">
        <v>5</v>
      </c>
      <c r="B34" s="95" t="s">
        <v>44</v>
      </c>
      <c r="C34" s="60"/>
      <c r="D34" s="74">
        <f t="shared" ref="D34:J34" si="141">D33+"0:02"</f>
        <v>0.21874999999999997</v>
      </c>
      <c r="E34" s="74">
        <f t="shared" ref="E34" si="142">E33+"0:02"</f>
        <v>0.22916666666666663</v>
      </c>
      <c r="F34" s="74">
        <f t="shared" si="141"/>
        <v>0.26041666666666641</v>
      </c>
      <c r="G34" s="74">
        <f t="shared" ref="G34" si="143">G33+"0:02"</f>
        <v>0.27083333333333331</v>
      </c>
      <c r="H34" s="74">
        <f t="shared" si="141"/>
        <v>0.30208333333333343</v>
      </c>
      <c r="I34" s="74">
        <f t="shared" ref="I34" si="144">I33+"0:02"</f>
        <v>0.31249999999999994</v>
      </c>
      <c r="J34" s="74">
        <f t="shared" si="141"/>
        <v>0.35416666666666669</v>
      </c>
      <c r="K34" s="74">
        <f t="shared" ref="K34:S34" si="145">K33+"0:02"</f>
        <v>0.39583333333333343</v>
      </c>
      <c r="L34" s="74">
        <f t="shared" si="145"/>
        <v>0.43750000000000044</v>
      </c>
      <c r="M34" s="74">
        <f t="shared" si="145"/>
        <v>0.47916666666666641</v>
      </c>
      <c r="N34" s="74">
        <f t="shared" si="145"/>
        <v>0.52083333333333337</v>
      </c>
      <c r="O34" s="74">
        <f t="shared" si="145"/>
        <v>0.5625</v>
      </c>
      <c r="P34" s="74">
        <f t="shared" si="145"/>
        <v>0.59375</v>
      </c>
      <c r="Q34" s="74">
        <f t="shared" si="145"/>
        <v>0.60416666666666663</v>
      </c>
      <c r="R34" s="74">
        <f t="shared" si="145"/>
        <v>0.63541666666666663</v>
      </c>
      <c r="S34" s="74">
        <f t="shared" si="145"/>
        <v>0.64583333333333337</v>
      </c>
      <c r="T34" s="74">
        <f t="shared" ref="T34:AA34" si="146">T33+"0:02"</f>
        <v>0.67708333333333326</v>
      </c>
      <c r="U34" s="74">
        <f t="shared" si="146"/>
        <v>0.68749999999999989</v>
      </c>
      <c r="V34" s="74">
        <f t="shared" si="146"/>
        <v>0.71874999999999989</v>
      </c>
      <c r="W34" s="74">
        <f t="shared" si="146"/>
        <v>0.72916666666666663</v>
      </c>
      <c r="X34" s="74">
        <f t="shared" ref="X34" si="147">X33+"0:02"</f>
        <v>0.76041666666666663</v>
      </c>
      <c r="Y34" s="74">
        <f t="shared" si="146"/>
        <v>0.77083333333333326</v>
      </c>
      <c r="Z34" s="74">
        <f t="shared" si="146"/>
        <v>0.81736111111111109</v>
      </c>
      <c r="AA34" s="74">
        <f t="shared" si="146"/>
        <v>0.85902777777777772</v>
      </c>
      <c r="AB34" s="103">
        <f t="shared" ref="AB34:AB35" si="148">AB33+"0:02"</f>
        <v>0.90069444444444435</v>
      </c>
    </row>
    <row r="35" spans="1:38" s="18" customFormat="1" ht="15" customHeight="1" x14ac:dyDescent="0.3">
      <c r="A35" s="114">
        <v>4</v>
      </c>
      <c r="B35" s="97" t="s">
        <v>97</v>
      </c>
      <c r="C35" s="60" t="s">
        <v>84</v>
      </c>
      <c r="D35" s="74">
        <f t="shared" ref="D35:J35" si="149">D34+"0:03"</f>
        <v>0.2208333333333333</v>
      </c>
      <c r="E35" s="74">
        <f t="shared" ref="E35" si="150">E34+"0:03"</f>
        <v>0.23124999999999996</v>
      </c>
      <c r="F35" s="74">
        <f t="shared" si="149"/>
        <v>0.26249999999999973</v>
      </c>
      <c r="G35" s="74">
        <f t="shared" ref="G35" si="151">G34+"0:03"</f>
        <v>0.27291666666666664</v>
      </c>
      <c r="H35" s="74">
        <f t="shared" si="149"/>
        <v>0.30416666666666675</v>
      </c>
      <c r="I35" s="74">
        <f t="shared" ref="I35" si="152">I34+"0:03"</f>
        <v>0.31458333333333327</v>
      </c>
      <c r="J35" s="74">
        <f t="shared" si="149"/>
        <v>0.35625000000000001</v>
      </c>
      <c r="K35" s="74">
        <f>K34+"0:03"</f>
        <v>0.39791666666666675</v>
      </c>
      <c r="L35" s="74">
        <f t="shared" ref="L35:T35" si="153">L34+"0:03"</f>
        <v>0.43958333333333377</v>
      </c>
      <c r="M35" s="74">
        <f t="shared" si="153"/>
        <v>0.48124999999999973</v>
      </c>
      <c r="N35" s="74">
        <f t="shared" si="153"/>
        <v>0.5229166666666667</v>
      </c>
      <c r="O35" s="74">
        <f t="shared" si="153"/>
        <v>0.56458333333333333</v>
      </c>
      <c r="P35" s="74">
        <f t="shared" si="153"/>
        <v>0.59583333333333333</v>
      </c>
      <c r="Q35" s="74">
        <f t="shared" si="153"/>
        <v>0.60624999999999996</v>
      </c>
      <c r="R35" s="74">
        <f t="shared" ref="R35" si="154">R34+"0:03"</f>
        <v>0.63749999999999996</v>
      </c>
      <c r="S35" s="74">
        <f t="shared" ref="S35" si="155">S34+"0:03"</f>
        <v>0.6479166666666667</v>
      </c>
      <c r="T35" s="74">
        <f t="shared" si="153"/>
        <v>0.67916666666666659</v>
      </c>
      <c r="U35" s="74">
        <f t="shared" ref="U35:Y35" si="156">U34+"0:03"</f>
        <v>0.68958333333333321</v>
      </c>
      <c r="V35" s="74">
        <f t="shared" si="156"/>
        <v>0.72083333333333321</v>
      </c>
      <c r="W35" s="74">
        <f t="shared" si="156"/>
        <v>0.73124999999999996</v>
      </c>
      <c r="X35" s="74">
        <f t="shared" ref="X35" si="157">X34+"0:03"</f>
        <v>0.76249999999999996</v>
      </c>
      <c r="Y35" s="74">
        <f t="shared" si="156"/>
        <v>0.77291666666666659</v>
      </c>
      <c r="Z35" s="74">
        <f>Z34+"0:02"</f>
        <v>0.81874999999999998</v>
      </c>
      <c r="AA35" s="74">
        <f t="shared" ref="AA35" si="158">AA34+"0:02"</f>
        <v>0.86041666666666661</v>
      </c>
      <c r="AB35" s="103">
        <f t="shared" si="148"/>
        <v>0.90208333333333324</v>
      </c>
    </row>
    <row r="36" spans="1:38" s="18" customFormat="1" ht="15" customHeight="1" x14ac:dyDescent="0.3">
      <c r="A36" s="114">
        <v>4</v>
      </c>
      <c r="B36" s="97" t="s">
        <v>97</v>
      </c>
      <c r="C36" s="60" t="s">
        <v>83</v>
      </c>
      <c r="D36" s="74">
        <f>D35+"0:04"</f>
        <v>0.22361111111111107</v>
      </c>
      <c r="E36" s="74">
        <v>0.23402777777777781</v>
      </c>
      <c r="F36" s="74">
        <f>F35+"0:04"</f>
        <v>0.2652777777777775</v>
      </c>
      <c r="G36" s="74">
        <v>0.27569444444444446</v>
      </c>
      <c r="H36" s="74">
        <f t="shared" ref="H36:V36" si="159">H35+"0:04"</f>
        <v>0.30694444444444452</v>
      </c>
      <c r="I36" s="74">
        <v>0.31736111111111115</v>
      </c>
      <c r="J36" s="74">
        <v>0.35902777777777778</v>
      </c>
      <c r="K36" s="74">
        <v>0.40069444444444446</v>
      </c>
      <c r="L36" s="74">
        <v>0.44236111111111115</v>
      </c>
      <c r="M36" s="74">
        <v>0.48402777777777778</v>
      </c>
      <c r="N36" s="74">
        <v>0.52569444444444446</v>
      </c>
      <c r="O36" s="74">
        <v>0.56736111111111109</v>
      </c>
      <c r="P36" s="74">
        <f t="shared" si="159"/>
        <v>0.59861111111111109</v>
      </c>
      <c r="Q36" s="74">
        <v>0.60902777777777783</v>
      </c>
      <c r="R36" s="74">
        <f t="shared" si="159"/>
        <v>0.64027777777777772</v>
      </c>
      <c r="S36" s="74">
        <v>0.65069444444444446</v>
      </c>
      <c r="T36" s="74">
        <f t="shared" si="159"/>
        <v>0.68194444444444435</v>
      </c>
      <c r="U36" s="74">
        <v>0.69236111111111109</v>
      </c>
      <c r="V36" s="74">
        <f t="shared" si="159"/>
        <v>0.72361111111111098</v>
      </c>
      <c r="W36" s="74">
        <v>0.73402777777777783</v>
      </c>
      <c r="X36" s="74">
        <f t="shared" ref="X36" si="160">X35+"0:04"</f>
        <v>0.76527777777777772</v>
      </c>
      <c r="Y36" s="74">
        <v>0.77569444444444446</v>
      </c>
      <c r="Z36" s="74">
        <v>0.81944444444444453</v>
      </c>
      <c r="AA36" s="74">
        <v>0.86111111111111105</v>
      </c>
      <c r="AB36" s="103">
        <v>0.90277777777777801</v>
      </c>
    </row>
    <row r="37" spans="1:38" s="18" customFormat="1" ht="15" customHeight="1" x14ac:dyDescent="0.3">
      <c r="A37" s="114">
        <v>3</v>
      </c>
      <c r="B37" s="95" t="s">
        <v>40</v>
      </c>
      <c r="C37" s="60"/>
      <c r="D37" s="74">
        <f>D36+"0:02"</f>
        <v>0.22499999999999995</v>
      </c>
      <c r="E37" s="74">
        <f t="shared" ref="E37:AB37" si="161">E36+"0:02"</f>
        <v>0.23541666666666669</v>
      </c>
      <c r="F37" s="74">
        <f t="shared" si="161"/>
        <v>0.26666666666666639</v>
      </c>
      <c r="G37" s="74">
        <f t="shared" si="161"/>
        <v>0.27708333333333335</v>
      </c>
      <c r="H37" s="74">
        <f t="shared" si="161"/>
        <v>0.3083333333333334</v>
      </c>
      <c r="I37" s="74">
        <f t="shared" si="161"/>
        <v>0.31875000000000003</v>
      </c>
      <c r="J37" s="74">
        <f t="shared" si="161"/>
        <v>0.36041666666666666</v>
      </c>
      <c r="K37" s="74">
        <f t="shared" si="161"/>
        <v>0.40208333333333335</v>
      </c>
      <c r="L37" s="74">
        <f t="shared" si="161"/>
        <v>0.44375000000000003</v>
      </c>
      <c r="M37" s="74">
        <f t="shared" si="161"/>
        <v>0.48541666666666666</v>
      </c>
      <c r="N37" s="74">
        <f t="shared" si="161"/>
        <v>0.52708333333333335</v>
      </c>
      <c r="O37" s="74">
        <f t="shared" si="161"/>
        <v>0.56874999999999998</v>
      </c>
      <c r="P37" s="74">
        <f t="shared" si="161"/>
        <v>0.6</v>
      </c>
      <c r="Q37" s="74">
        <f t="shared" si="161"/>
        <v>0.61041666666666672</v>
      </c>
      <c r="R37" s="74">
        <f t="shared" si="161"/>
        <v>0.64166666666666661</v>
      </c>
      <c r="S37" s="74">
        <f t="shared" si="161"/>
        <v>0.65208333333333335</v>
      </c>
      <c r="T37" s="74">
        <f t="shared" si="161"/>
        <v>0.68333333333333324</v>
      </c>
      <c r="U37" s="74">
        <f t="shared" si="161"/>
        <v>0.69374999999999998</v>
      </c>
      <c r="V37" s="74">
        <f t="shared" si="161"/>
        <v>0.72499999999999987</v>
      </c>
      <c r="W37" s="74">
        <f t="shared" si="161"/>
        <v>0.73541666666666672</v>
      </c>
      <c r="X37" s="74">
        <f t="shared" si="161"/>
        <v>0.76666666666666661</v>
      </c>
      <c r="Y37" s="74">
        <f t="shared" si="161"/>
        <v>0.77708333333333335</v>
      </c>
      <c r="Z37" s="74">
        <f t="shared" si="161"/>
        <v>0.82083333333333341</v>
      </c>
      <c r="AA37" s="74">
        <f t="shared" si="161"/>
        <v>0.86249999999999993</v>
      </c>
      <c r="AB37" s="103">
        <f t="shared" si="161"/>
        <v>0.9041666666666669</v>
      </c>
    </row>
    <row r="38" spans="1:38" s="18" customFormat="1" ht="15" customHeight="1" x14ac:dyDescent="0.3">
      <c r="A38" s="114">
        <v>2</v>
      </c>
      <c r="B38" s="95" t="s">
        <v>43</v>
      </c>
      <c r="C38" s="60"/>
      <c r="D38" s="74">
        <f>D37+"0:01"</f>
        <v>0.22569444444444439</v>
      </c>
      <c r="E38" s="74">
        <f t="shared" ref="E38:AB38" si="162">E37+"0:01"</f>
        <v>0.23611111111111113</v>
      </c>
      <c r="F38" s="74">
        <f t="shared" si="162"/>
        <v>0.26736111111111083</v>
      </c>
      <c r="G38" s="74">
        <f t="shared" si="162"/>
        <v>0.27777777777777779</v>
      </c>
      <c r="H38" s="74">
        <f t="shared" si="162"/>
        <v>0.30902777777777785</v>
      </c>
      <c r="I38" s="74">
        <f t="shared" si="162"/>
        <v>0.31944444444444448</v>
      </c>
      <c r="J38" s="74">
        <f t="shared" si="162"/>
        <v>0.3611111111111111</v>
      </c>
      <c r="K38" s="74">
        <f t="shared" si="162"/>
        <v>0.40277777777777779</v>
      </c>
      <c r="L38" s="74">
        <f t="shared" si="162"/>
        <v>0.44444444444444448</v>
      </c>
      <c r="M38" s="74">
        <f t="shared" si="162"/>
        <v>0.4861111111111111</v>
      </c>
      <c r="N38" s="74">
        <f t="shared" si="162"/>
        <v>0.52777777777777779</v>
      </c>
      <c r="O38" s="74">
        <f t="shared" si="162"/>
        <v>0.56944444444444442</v>
      </c>
      <c r="P38" s="74">
        <f t="shared" si="162"/>
        <v>0.60069444444444442</v>
      </c>
      <c r="Q38" s="74">
        <f t="shared" si="162"/>
        <v>0.61111111111111116</v>
      </c>
      <c r="R38" s="74">
        <f t="shared" si="162"/>
        <v>0.64236111111111105</v>
      </c>
      <c r="S38" s="74">
        <f t="shared" si="162"/>
        <v>0.65277777777777779</v>
      </c>
      <c r="T38" s="74">
        <f t="shared" si="162"/>
        <v>0.68402777777777768</v>
      </c>
      <c r="U38" s="74">
        <f t="shared" si="162"/>
        <v>0.69444444444444442</v>
      </c>
      <c r="V38" s="74">
        <f t="shared" si="162"/>
        <v>0.72569444444444431</v>
      </c>
      <c r="W38" s="74">
        <f t="shared" si="162"/>
        <v>0.73611111111111116</v>
      </c>
      <c r="X38" s="74">
        <f t="shared" si="162"/>
        <v>0.76736111111111105</v>
      </c>
      <c r="Y38" s="74">
        <f t="shared" si="162"/>
        <v>0.77777777777777779</v>
      </c>
      <c r="Z38" s="74">
        <f t="shared" si="162"/>
        <v>0.82152777777777786</v>
      </c>
      <c r="AA38" s="74">
        <f t="shared" si="162"/>
        <v>0.86319444444444438</v>
      </c>
      <c r="AB38" s="103">
        <f t="shared" si="162"/>
        <v>0.90486111111111134</v>
      </c>
    </row>
    <row r="39" spans="1:38" s="18" customFormat="1" ht="15" customHeight="1" thickBot="1" x14ac:dyDescent="0.35">
      <c r="A39" s="116">
        <v>1</v>
      </c>
      <c r="B39" s="117" t="s">
        <v>96</v>
      </c>
      <c r="C39" s="118" t="s">
        <v>84</v>
      </c>
      <c r="D39" s="107">
        <f>D38+"0:02"</f>
        <v>0.22708333333333328</v>
      </c>
      <c r="E39" s="107">
        <f t="shared" ref="E39:AB39" si="163">E38+"0:02"</f>
        <v>0.23750000000000002</v>
      </c>
      <c r="F39" s="107">
        <f t="shared" si="163"/>
        <v>0.26874999999999971</v>
      </c>
      <c r="G39" s="107">
        <f t="shared" si="163"/>
        <v>0.27916666666666667</v>
      </c>
      <c r="H39" s="107">
        <f t="shared" si="163"/>
        <v>0.31041666666666673</v>
      </c>
      <c r="I39" s="107">
        <f t="shared" si="163"/>
        <v>0.32083333333333336</v>
      </c>
      <c r="J39" s="107">
        <f t="shared" si="163"/>
        <v>0.36249999999999999</v>
      </c>
      <c r="K39" s="107">
        <f t="shared" si="163"/>
        <v>0.40416666666666667</v>
      </c>
      <c r="L39" s="107">
        <f t="shared" si="163"/>
        <v>0.44583333333333336</v>
      </c>
      <c r="M39" s="107">
        <f t="shared" si="163"/>
        <v>0.48749999999999999</v>
      </c>
      <c r="N39" s="107">
        <f t="shared" si="163"/>
        <v>0.52916666666666667</v>
      </c>
      <c r="O39" s="107">
        <f t="shared" si="163"/>
        <v>0.5708333333333333</v>
      </c>
      <c r="P39" s="107">
        <f t="shared" si="163"/>
        <v>0.6020833333333333</v>
      </c>
      <c r="Q39" s="107">
        <f t="shared" si="163"/>
        <v>0.61250000000000004</v>
      </c>
      <c r="R39" s="107">
        <f t="shared" si="163"/>
        <v>0.64374999999999993</v>
      </c>
      <c r="S39" s="107">
        <f t="shared" si="163"/>
        <v>0.65416666666666667</v>
      </c>
      <c r="T39" s="107">
        <f t="shared" si="163"/>
        <v>0.68541666666666656</v>
      </c>
      <c r="U39" s="107">
        <f t="shared" si="163"/>
        <v>0.6958333333333333</v>
      </c>
      <c r="V39" s="107">
        <f t="shared" si="163"/>
        <v>0.72708333333333319</v>
      </c>
      <c r="W39" s="107">
        <f t="shared" si="163"/>
        <v>0.73750000000000004</v>
      </c>
      <c r="X39" s="107">
        <f t="shared" si="163"/>
        <v>0.76874999999999993</v>
      </c>
      <c r="Y39" s="107">
        <f t="shared" si="163"/>
        <v>0.77916666666666667</v>
      </c>
      <c r="Z39" s="107">
        <f t="shared" si="163"/>
        <v>0.82291666666666674</v>
      </c>
      <c r="AA39" s="107">
        <f t="shared" si="163"/>
        <v>0.86458333333333326</v>
      </c>
      <c r="AB39" s="108">
        <f t="shared" si="163"/>
        <v>0.90625000000000022</v>
      </c>
    </row>
    <row r="40" spans="1:38" s="10" customFormat="1" ht="15" customHeight="1" thickBot="1" x14ac:dyDescent="0.35">
      <c r="B40" s="13" t="s">
        <v>2</v>
      </c>
      <c r="C40" s="11"/>
      <c r="D40" s="72">
        <v>7.6</v>
      </c>
      <c r="E40" s="72">
        <v>7.6</v>
      </c>
      <c r="F40" s="72">
        <v>7.6</v>
      </c>
      <c r="G40" s="72">
        <v>7.6</v>
      </c>
      <c r="H40" s="72">
        <v>7.6</v>
      </c>
      <c r="I40" s="72">
        <v>7.6</v>
      </c>
      <c r="J40" s="72">
        <v>7.6</v>
      </c>
      <c r="K40" s="72">
        <v>7.6</v>
      </c>
      <c r="L40" s="72">
        <v>7.6</v>
      </c>
      <c r="M40" s="72">
        <v>7.6</v>
      </c>
      <c r="N40" s="72">
        <v>7.6</v>
      </c>
      <c r="O40" s="72">
        <v>7.6</v>
      </c>
      <c r="P40" s="72">
        <v>7.6</v>
      </c>
      <c r="Q40" s="72">
        <v>7.6</v>
      </c>
      <c r="R40" s="72">
        <v>7.6</v>
      </c>
      <c r="S40" s="72">
        <v>7.6</v>
      </c>
      <c r="T40" s="72">
        <v>7.6</v>
      </c>
      <c r="U40" s="72">
        <v>7.6</v>
      </c>
      <c r="V40" s="72">
        <v>7.6</v>
      </c>
      <c r="W40" s="72">
        <v>7.6</v>
      </c>
      <c r="X40" s="72">
        <v>7.6</v>
      </c>
      <c r="Y40" s="72">
        <v>7.6</v>
      </c>
      <c r="Z40" s="72">
        <v>7.6</v>
      </c>
      <c r="AA40" s="72">
        <v>7.6</v>
      </c>
      <c r="AB40" s="72">
        <v>7.6</v>
      </c>
      <c r="AC40" s="12">
        <f>SUM(D40:AB40)</f>
        <v>189.99999999999991</v>
      </c>
      <c r="AG40" s="11"/>
      <c r="AH40" s="11"/>
      <c r="AI40" s="11"/>
      <c r="AJ40" s="11"/>
      <c r="AK40" s="11"/>
      <c r="AL40" s="11"/>
    </row>
    <row r="41" spans="1:38" x14ac:dyDescent="0.3">
      <c r="AJ41" s="25"/>
      <c r="AK41" s="25"/>
    </row>
  </sheetData>
  <sheetProtection formatCells="0" formatColumns="0" formatRows="0" insertColumns="0" insertRows="0" insertHyperlinks="0" deleteColumns="0" deleteRows="0" sort="0" autoFilter="0" pivotTables="0"/>
  <pageMargins left="0.23622047244094491" right="0.23622047244094491" top="0.23622047244094491" bottom="0.23622047244094491" header="0.31496062992125984" footer="0.31496062992125984"/>
  <pageSetup paperSize="9" scale="79" fitToHeight="0" orientation="landscape" r:id="rId1"/>
  <headerFooter>
    <oddHeader>&amp;RPrinz návrh jízdních řádů 2026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26EC-209A-471F-A0DA-9739E6A3D3B4}">
  <dimension ref="A1:Z56"/>
  <sheetViews>
    <sheetView topLeftCell="A28" zoomScaleNormal="100" workbookViewId="0">
      <selection activeCell="A56" sqref="A56:XFD56"/>
    </sheetView>
  </sheetViews>
  <sheetFormatPr defaultColWidth="8.6640625" defaultRowHeight="13.2" x14ac:dyDescent="0.3"/>
  <cols>
    <col min="1" max="1" width="4.6640625" style="26" customWidth="1"/>
    <col min="2" max="2" width="25.33203125" style="26" customWidth="1"/>
    <col min="3" max="3" width="4.88671875" style="26" customWidth="1"/>
    <col min="4" max="4" width="5.44140625" style="26" customWidth="1"/>
    <col min="5" max="5" width="8.6640625" style="26"/>
    <col min="6" max="24" width="6.5546875" style="26" customWidth="1"/>
    <col min="25" max="25" width="8.6640625" style="26"/>
    <col min="26" max="26" width="8.88671875" style="26" customWidth="1"/>
    <col min="27" max="27" width="8.6640625" style="26" customWidth="1"/>
    <col min="28" max="16384" width="8.6640625" style="26"/>
  </cols>
  <sheetData>
    <row r="1" spans="1:9" s="29" customFormat="1" ht="18" customHeight="1" x14ac:dyDescent="0.3">
      <c r="A1" s="28" t="s">
        <v>7</v>
      </c>
      <c r="B1" s="30"/>
      <c r="E1" s="28" t="s">
        <v>100</v>
      </c>
    </row>
    <row r="2" spans="1:9" s="29" customFormat="1" ht="15" customHeight="1" thickBot="1" x14ac:dyDescent="0.35">
      <c r="A2" s="30"/>
      <c r="B2" s="66" t="s">
        <v>15</v>
      </c>
      <c r="E2" s="29" t="s">
        <v>105</v>
      </c>
    </row>
    <row r="3" spans="1:9" s="29" customFormat="1" ht="15" customHeight="1" x14ac:dyDescent="0.3">
      <c r="A3" s="121" t="s">
        <v>1</v>
      </c>
      <c r="B3" s="99"/>
      <c r="C3" s="122"/>
      <c r="D3" s="122">
        <v>1</v>
      </c>
      <c r="E3" s="122">
        <v>3</v>
      </c>
      <c r="F3" s="122">
        <v>5</v>
      </c>
      <c r="G3" s="122">
        <v>7</v>
      </c>
      <c r="H3" s="122">
        <v>9</v>
      </c>
      <c r="I3" s="123">
        <v>11</v>
      </c>
    </row>
    <row r="4" spans="1:9" s="29" customFormat="1" ht="15" customHeight="1" x14ac:dyDescent="0.3">
      <c r="A4" s="124">
        <v>1</v>
      </c>
      <c r="B4" s="120" t="s">
        <v>53</v>
      </c>
      <c r="C4" s="78" t="s">
        <v>83</v>
      </c>
      <c r="D4" s="74"/>
      <c r="E4" s="74"/>
      <c r="F4" s="77">
        <v>0.87083333333333324</v>
      </c>
      <c r="G4" s="77">
        <v>0.89513888888888893</v>
      </c>
      <c r="H4" s="77">
        <v>0.92569444444444438</v>
      </c>
      <c r="I4" s="119"/>
    </row>
    <row r="5" spans="1:9" s="29" customFormat="1" ht="15" customHeight="1" x14ac:dyDescent="0.3">
      <c r="A5" s="124">
        <v>2</v>
      </c>
      <c r="B5" s="120" t="s">
        <v>54</v>
      </c>
      <c r="C5" s="78"/>
      <c r="D5" s="79"/>
      <c r="E5" s="79"/>
      <c r="F5" s="79" t="s">
        <v>14</v>
      </c>
      <c r="G5" s="79" t="s">
        <v>14</v>
      </c>
      <c r="H5" s="79" t="s">
        <v>14</v>
      </c>
      <c r="I5" s="119"/>
    </row>
    <row r="6" spans="1:9" s="29" customFormat="1" ht="15" customHeight="1" x14ac:dyDescent="0.3">
      <c r="A6" s="124">
        <v>3</v>
      </c>
      <c r="B6" s="120" t="s">
        <v>43</v>
      </c>
      <c r="C6" s="78"/>
      <c r="D6" s="74"/>
      <c r="E6" s="74"/>
      <c r="F6" s="74">
        <f t="shared" ref="F6:G6" si="0">F4+"0:02"</f>
        <v>0.87222222222222212</v>
      </c>
      <c r="G6" s="74">
        <f t="shared" si="0"/>
        <v>0.89652777777777781</v>
      </c>
      <c r="H6" s="74">
        <f t="shared" ref="H6" si="1">H4+"0:02"</f>
        <v>0.92708333333333326</v>
      </c>
      <c r="I6" s="119"/>
    </row>
    <row r="7" spans="1:9" s="29" customFormat="1" ht="15" customHeight="1" x14ac:dyDescent="0.3">
      <c r="A7" s="124">
        <v>4</v>
      </c>
      <c r="B7" s="120" t="s">
        <v>39</v>
      </c>
      <c r="C7" s="78"/>
      <c r="D7" s="74"/>
      <c r="E7" s="74"/>
      <c r="F7" s="74">
        <f t="shared" ref="F7:G7" si="2">F6+"0:01"</f>
        <v>0.87291666666666656</v>
      </c>
      <c r="G7" s="74">
        <f t="shared" si="2"/>
        <v>0.89722222222222225</v>
      </c>
      <c r="H7" s="74">
        <f t="shared" ref="H7" si="3">H6+"0:01"</f>
        <v>0.9277777777777777</v>
      </c>
      <c r="I7" s="119"/>
    </row>
    <row r="8" spans="1:9" s="29" customFormat="1" ht="15" customHeight="1" x14ac:dyDescent="0.3">
      <c r="A8" s="124">
        <v>5</v>
      </c>
      <c r="B8" s="120" t="s">
        <v>40</v>
      </c>
      <c r="C8" s="78"/>
      <c r="D8" s="79"/>
      <c r="E8" s="79"/>
      <c r="F8" s="79" t="s">
        <v>14</v>
      </c>
      <c r="G8" s="79" t="s">
        <v>14</v>
      </c>
      <c r="H8" s="79" t="s">
        <v>14</v>
      </c>
      <c r="I8" s="119"/>
    </row>
    <row r="9" spans="1:9" s="29" customFormat="1" ht="15" customHeight="1" x14ac:dyDescent="0.3">
      <c r="A9" s="124">
        <v>6</v>
      </c>
      <c r="B9" s="97" t="s">
        <v>97</v>
      </c>
      <c r="C9" s="78"/>
      <c r="D9" s="74">
        <v>0.79166666666666663</v>
      </c>
      <c r="E9" s="74">
        <v>0.83333333333333337</v>
      </c>
      <c r="F9" s="78" t="s">
        <v>4</v>
      </c>
      <c r="G9" s="74">
        <f t="shared" ref="G9" si="4">G7+"0:03"</f>
        <v>0.89930555555555558</v>
      </c>
      <c r="H9" s="77">
        <v>0.9291666666666667</v>
      </c>
      <c r="I9" s="192">
        <v>0.97291666666666676</v>
      </c>
    </row>
    <row r="10" spans="1:9" s="29" customFormat="1" ht="15" customHeight="1" x14ac:dyDescent="0.3">
      <c r="A10" s="124">
        <v>7</v>
      </c>
      <c r="B10" s="120" t="s">
        <v>44</v>
      </c>
      <c r="C10" s="78"/>
      <c r="D10" s="74">
        <f t="shared" ref="D10:E10" si="5">D9+"0:02"</f>
        <v>0.79305555555555551</v>
      </c>
      <c r="E10" s="74">
        <f t="shared" si="5"/>
        <v>0.83472222222222225</v>
      </c>
      <c r="F10" s="74">
        <f t="shared" ref="F10:G10" si="6">F9+"0:02"</f>
        <v>0.87638888888888888</v>
      </c>
      <c r="G10" s="74">
        <f t="shared" si="6"/>
        <v>0.90069444444444446</v>
      </c>
      <c r="H10" s="74">
        <f t="shared" ref="H10:I10" si="7">H9+"0:02"</f>
        <v>0.93055555555555558</v>
      </c>
      <c r="I10" s="74">
        <f t="shared" si="7"/>
        <v>0.97430555555555565</v>
      </c>
    </row>
    <row r="11" spans="1:9" s="29" customFormat="1" ht="15" customHeight="1" x14ac:dyDescent="0.3">
      <c r="A11" s="124">
        <v>8</v>
      </c>
      <c r="B11" s="120" t="s">
        <v>23</v>
      </c>
      <c r="C11" s="78"/>
      <c r="D11" s="74">
        <f t="shared" ref="D11:E11" si="8">D10+"0:02"</f>
        <v>0.7944444444444444</v>
      </c>
      <c r="E11" s="74">
        <f t="shared" si="8"/>
        <v>0.83611111111111114</v>
      </c>
      <c r="F11" s="74">
        <f t="shared" ref="F11:G11" si="9">F10+"0:02"</f>
        <v>0.87777777777777777</v>
      </c>
      <c r="G11" s="74">
        <f t="shared" si="9"/>
        <v>0.90208333333333335</v>
      </c>
      <c r="H11" s="74">
        <f t="shared" ref="H11:I11" si="10">H10+"0:02"</f>
        <v>0.93194444444444446</v>
      </c>
      <c r="I11" s="74"/>
    </row>
    <row r="12" spans="1:9" s="29" customFormat="1" ht="15" customHeight="1" x14ac:dyDescent="0.3">
      <c r="A12" s="124">
        <v>9</v>
      </c>
      <c r="B12" s="120" t="s">
        <v>55</v>
      </c>
      <c r="C12" s="78"/>
      <c r="D12" s="74">
        <f t="shared" ref="D12:E12" si="11">D11+"0:01"</f>
        <v>0.79513888888888884</v>
      </c>
      <c r="E12" s="74">
        <f t="shared" si="11"/>
        <v>0.83680555555555558</v>
      </c>
      <c r="F12" s="74">
        <f t="shared" ref="F12:G12" si="12">F11+"0:01"</f>
        <v>0.87847222222222221</v>
      </c>
      <c r="G12" s="74">
        <f t="shared" si="12"/>
        <v>0.90277777777777779</v>
      </c>
      <c r="H12" s="74">
        <f t="shared" ref="H12:I12" si="13">H11+"0:01"</f>
        <v>0.93263888888888891</v>
      </c>
      <c r="I12" s="74"/>
    </row>
    <row r="13" spans="1:9" s="29" customFormat="1" ht="15" customHeight="1" x14ac:dyDescent="0.3">
      <c r="A13" s="124">
        <v>10</v>
      </c>
      <c r="B13" s="120" t="s">
        <v>23</v>
      </c>
      <c r="C13" s="78"/>
      <c r="D13" s="79" t="s">
        <v>14</v>
      </c>
      <c r="E13" s="79" t="s">
        <v>14</v>
      </c>
      <c r="F13" s="79" t="s">
        <v>14</v>
      </c>
      <c r="G13" s="79" t="s">
        <v>14</v>
      </c>
      <c r="H13" s="79" t="s">
        <v>14</v>
      </c>
      <c r="I13" s="79" t="s">
        <v>14</v>
      </c>
    </row>
    <row r="14" spans="1:9" s="29" customFormat="1" ht="15" customHeight="1" x14ac:dyDescent="0.3">
      <c r="A14" s="124">
        <v>11</v>
      </c>
      <c r="B14" s="120" t="s">
        <v>45</v>
      </c>
      <c r="C14" s="78"/>
      <c r="D14" s="74">
        <f t="shared" ref="D14:E14" si="14">D12+"0:03"</f>
        <v>0.79722222222222217</v>
      </c>
      <c r="E14" s="74">
        <f t="shared" si="14"/>
        <v>0.83888888888888891</v>
      </c>
      <c r="F14" s="74">
        <f>F12+"0:03"</f>
        <v>0.88055555555555554</v>
      </c>
      <c r="G14" s="74">
        <f>G12+"0:03"</f>
        <v>0.90486111111111112</v>
      </c>
      <c r="H14" s="74">
        <f>H12+"0:03"</f>
        <v>0.93472222222222223</v>
      </c>
      <c r="I14" s="74">
        <v>0.97638888888888886</v>
      </c>
    </row>
    <row r="15" spans="1:9" s="29" customFormat="1" ht="15" customHeight="1" x14ac:dyDescent="0.3">
      <c r="A15" s="124">
        <v>12</v>
      </c>
      <c r="B15" s="120" t="s">
        <v>46</v>
      </c>
      <c r="C15" s="60"/>
      <c r="D15" s="74">
        <f>D14+"0:03"</f>
        <v>0.79930555555555549</v>
      </c>
      <c r="E15" s="74">
        <f>E14+"0:03"</f>
        <v>0.84097222222222223</v>
      </c>
      <c r="F15" s="74">
        <f>F14+"0:03"</f>
        <v>0.88263888888888886</v>
      </c>
      <c r="G15" s="74">
        <f>G14+"0:02"</f>
        <v>0.90625</v>
      </c>
      <c r="H15" s="74">
        <f>H14+"0:02"</f>
        <v>0.93611111111111112</v>
      </c>
      <c r="I15" s="74">
        <f>I14+"0:02"</f>
        <v>0.97777777777777775</v>
      </c>
    </row>
    <row r="16" spans="1:9" s="29" customFormat="1" ht="15" customHeight="1" x14ac:dyDescent="0.3">
      <c r="A16" s="124">
        <v>13</v>
      </c>
      <c r="B16" s="120" t="s">
        <v>47</v>
      </c>
      <c r="C16" s="96"/>
      <c r="D16" s="74">
        <f t="shared" ref="D16:E16" si="15">D15+"0:01"</f>
        <v>0.79999999999999993</v>
      </c>
      <c r="E16" s="74">
        <f t="shared" si="15"/>
        <v>0.84166666666666667</v>
      </c>
      <c r="F16" s="74">
        <f t="shared" ref="F16:G16" si="16">F15+"0:01"</f>
        <v>0.8833333333333333</v>
      </c>
      <c r="G16" s="74">
        <f t="shared" si="16"/>
        <v>0.90694444444444444</v>
      </c>
      <c r="H16" s="74">
        <f t="shared" ref="H16:I16" si="17">H15+"0:01"</f>
        <v>0.93680555555555556</v>
      </c>
      <c r="I16" s="74">
        <f t="shared" si="17"/>
        <v>0.97847222222222219</v>
      </c>
    </row>
    <row r="17" spans="1:26" s="29" customFormat="1" ht="15" customHeight="1" x14ac:dyDescent="0.3">
      <c r="A17" s="124">
        <v>14</v>
      </c>
      <c r="B17" s="120" t="s">
        <v>56</v>
      </c>
      <c r="C17" s="78"/>
      <c r="D17" s="74">
        <f t="shared" ref="D17:E17" si="18">D16+"0:02"</f>
        <v>0.80138888888888882</v>
      </c>
      <c r="E17" s="74">
        <f t="shared" si="18"/>
        <v>0.84305555555555556</v>
      </c>
      <c r="F17" s="74">
        <f t="shared" ref="F17" si="19">F16+"0:02"</f>
        <v>0.88472222222222219</v>
      </c>
      <c r="G17" s="74">
        <f>G16+"0:01"</f>
        <v>0.90763888888888888</v>
      </c>
      <c r="H17" s="74">
        <f>H16+"0:01"</f>
        <v>0.9375</v>
      </c>
      <c r="I17" s="74">
        <f>I16+"0:01"</f>
        <v>0.97916666666666663</v>
      </c>
    </row>
    <row r="18" spans="1:26" s="29" customFormat="1" ht="15" customHeight="1" x14ac:dyDescent="0.3">
      <c r="A18" s="124">
        <v>15</v>
      </c>
      <c r="B18" s="120" t="s">
        <v>57</v>
      </c>
      <c r="C18" s="78"/>
      <c r="D18" s="74">
        <f t="shared" ref="D18:E18" si="20">D17+"0:01"</f>
        <v>0.80208333333333326</v>
      </c>
      <c r="E18" s="74">
        <f t="shared" si="20"/>
        <v>0.84375</v>
      </c>
      <c r="F18" s="74">
        <f t="shared" ref="F18:G18" si="21">F17+"0:01"</f>
        <v>0.88541666666666663</v>
      </c>
      <c r="G18" s="74">
        <f t="shared" si="21"/>
        <v>0.90833333333333333</v>
      </c>
      <c r="H18" s="74">
        <f t="shared" ref="H18:I18" si="22">H17+"0:01"</f>
        <v>0.93819444444444444</v>
      </c>
      <c r="I18" s="74">
        <f t="shared" si="22"/>
        <v>0.97986111111111107</v>
      </c>
    </row>
    <row r="19" spans="1:26" s="29" customFormat="1" ht="15" customHeight="1" x14ac:dyDescent="0.3">
      <c r="A19" s="124">
        <v>16</v>
      </c>
      <c r="B19" s="120" t="s">
        <v>58</v>
      </c>
      <c r="C19" s="78"/>
      <c r="D19" s="74">
        <f t="shared" ref="D19:E19" si="23">D18+"0:02"</f>
        <v>0.80347222222222214</v>
      </c>
      <c r="E19" s="74">
        <f t="shared" si="23"/>
        <v>0.84513888888888888</v>
      </c>
      <c r="F19" s="74">
        <f t="shared" ref="F19:G19" si="24">F18+"0:02"</f>
        <v>0.88680555555555551</v>
      </c>
      <c r="G19" s="74">
        <f t="shared" si="24"/>
        <v>0.90972222222222221</v>
      </c>
      <c r="H19" s="74">
        <f t="shared" ref="H19:I19" si="25">H18+"0:02"</f>
        <v>0.93958333333333333</v>
      </c>
      <c r="I19" s="74">
        <f t="shared" si="25"/>
        <v>0.98124999999999996</v>
      </c>
    </row>
    <row r="20" spans="1:26" s="29" customFormat="1" ht="15" customHeight="1" x14ac:dyDescent="0.3">
      <c r="A20" s="124">
        <v>17</v>
      </c>
      <c r="B20" s="120" t="s">
        <v>59</v>
      </c>
      <c r="C20" s="78"/>
      <c r="D20" s="74">
        <f t="shared" ref="D20:E20" si="26">D19+"0:02"</f>
        <v>0.80486111111111103</v>
      </c>
      <c r="E20" s="74">
        <f t="shared" si="26"/>
        <v>0.84652777777777777</v>
      </c>
      <c r="F20" s="74">
        <f t="shared" ref="F20:G20" si="27">F19+"0:02"</f>
        <v>0.8881944444444444</v>
      </c>
      <c r="G20" s="74">
        <f>G19+"0:01"</f>
        <v>0.91041666666666665</v>
      </c>
      <c r="H20" s="74">
        <f>H19+"0:01"</f>
        <v>0.94027777777777777</v>
      </c>
      <c r="I20" s="74">
        <f>I19+"0:01"</f>
        <v>0.9819444444444444</v>
      </c>
    </row>
    <row r="21" spans="1:26" s="29" customFormat="1" ht="15" customHeight="1" x14ac:dyDescent="0.3">
      <c r="A21" s="124">
        <v>18</v>
      </c>
      <c r="B21" s="120" t="s">
        <v>60</v>
      </c>
      <c r="C21" s="78"/>
      <c r="D21" s="74">
        <f t="shared" ref="D21:E21" si="28">D20+"0:02"</f>
        <v>0.80624999999999991</v>
      </c>
      <c r="E21" s="74">
        <f t="shared" si="28"/>
        <v>0.84791666666666665</v>
      </c>
      <c r="F21" s="74">
        <f t="shared" ref="F21:G21" si="29">F20+"0:02"</f>
        <v>0.88958333333333328</v>
      </c>
      <c r="G21" s="74">
        <f t="shared" si="29"/>
        <v>0.91180555555555554</v>
      </c>
      <c r="H21" s="74">
        <f t="shared" ref="H21:I21" si="30">H20+"0:02"</f>
        <v>0.94166666666666665</v>
      </c>
      <c r="I21" s="74">
        <f t="shared" si="30"/>
        <v>0.98333333333333328</v>
      </c>
    </row>
    <row r="22" spans="1:26" s="29" customFormat="1" ht="15" customHeight="1" x14ac:dyDescent="0.3">
      <c r="A22" s="124">
        <v>19</v>
      </c>
      <c r="B22" s="120" t="s">
        <v>49</v>
      </c>
      <c r="C22" s="78"/>
      <c r="D22" s="74">
        <f t="shared" ref="D22:E22" si="31">D21+"0:01"</f>
        <v>0.80694444444444435</v>
      </c>
      <c r="E22" s="74">
        <f t="shared" si="31"/>
        <v>0.84861111111111109</v>
      </c>
      <c r="F22" s="74">
        <f t="shared" ref="F22:G22" si="32">F21+"0:01"</f>
        <v>0.89027777777777772</v>
      </c>
      <c r="G22" s="74">
        <f t="shared" si="32"/>
        <v>0.91249999999999998</v>
      </c>
      <c r="H22" s="74">
        <f t="shared" ref="H22:I22" si="33">H21+"0:01"</f>
        <v>0.94236111111111109</v>
      </c>
      <c r="I22" s="74">
        <f t="shared" si="33"/>
        <v>0.98402777777777772</v>
      </c>
    </row>
    <row r="23" spans="1:26" s="29" customFormat="1" ht="15" customHeight="1" x14ac:dyDescent="0.3">
      <c r="A23" s="124">
        <v>20</v>
      </c>
      <c r="B23" s="120" t="s">
        <v>50</v>
      </c>
      <c r="C23" s="78"/>
      <c r="D23" s="74">
        <f t="shared" ref="D23:E23" si="34">D22+"0:02"</f>
        <v>0.80833333333333324</v>
      </c>
      <c r="E23" s="74">
        <f t="shared" si="34"/>
        <v>0.85</v>
      </c>
      <c r="F23" s="74">
        <f t="shared" ref="F23" si="35">F22+"0:02"</f>
        <v>0.89166666666666661</v>
      </c>
      <c r="G23" s="74">
        <f>G22+"0:01"</f>
        <v>0.91319444444444442</v>
      </c>
      <c r="H23" s="74">
        <f>H22+"0:01"</f>
        <v>0.94305555555555554</v>
      </c>
      <c r="I23" s="74">
        <f>I22+"0:01"</f>
        <v>0.98472222222222217</v>
      </c>
    </row>
    <row r="24" spans="1:26" s="29" customFormat="1" ht="15" customHeight="1" x14ac:dyDescent="0.3">
      <c r="A24" s="124">
        <v>21</v>
      </c>
      <c r="B24" s="120" t="s">
        <v>51</v>
      </c>
      <c r="C24" s="96"/>
      <c r="D24" s="74">
        <f t="shared" ref="D24:E24" si="36">D23+"0:01"</f>
        <v>0.80902777777777768</v>
      </c>
      <c r="E24" s="74">
        <f t="shared" si="36"/>
        <v>0.85069444444444442</v>
      </c>
      <c r="F24" s="74">
        <f t="shared" ref="F24:G24" si="37">F23+"0:01"</f>
        <v>0.89236111111111105</v>
      </c>
      <c r="G24" s="74">
        <f t="shared" si="37"/>
        <v>0.91388888888888886</v>
      </c>
      <c r="H24" s="74">
        <f t="shared" ref="H24:I24" si="38">H23+"0:01"</f>
        <v>0.94374999999999998</v>
      </c>
      <c r="I24" s="74">
        <f t="shared" si="38"/>
        <v>0.98541666666666661</v>
      </c>
    </row>
    <row r="25" spans="1:26" s="29" customFormat="1" ht="15" customHeight="1" thickBot="1" x14ac:dyDescent="0.35">
      <c r="A25" s="125">
        <v>22</v>
      </c>
      <c r="B25" s="126" t="s">
        <v>52</v>
      </c>
      <c r="C25" s="106" t="s">
        <v>84</v>
      </c>
      <c r="D25" s="107">
        <f t="shared" ref="D25:E25" si="39">D24+"0:01"</f>
        <v>0.80972222222222212</v>
      </c>
      <c r="E25" s="107">
        <f t="shared" si="39"/>
        <v>0.85138888888888886</v>
      </c>
      <c r="F25" s="107">
        <f>F24+"0:01"</f>
        <v>0.89305555555555549</v>
      </c>
      <c r="G25" s="107">
        <f>G24+"0:01"</f>
        <v>0.9145833333333333</v>
      </c>
      <c r="H25" s="107">
        <f>H24+"0:01"</f>
        <v>0.94444444444444442</v>
      </c>
      <c r="I25" s="107">
        <f>I24+"0:01"</f>
        <v>0.98611111111111105</v>
      </c>
    </row>
    <row r="26" spans="1:26" s="10" customFormat="1" ht="15" customHeight="1" thickBot="1" x14ac:dyDescent="0.35">
      <c r="B26" s="13" t="s">
        <v>2</v>
      </c>
      <c r="C26" s="11"/>
      <c r="D26" s="75">
        <v>10.1</v>
      </c>
      <c r="E26" s="75">
        <v>10.1</v>
      </c>
      <c r="F26" s="75">
        <v>12.2</v>
      </c>
      <c r="G26" s="75">
        <v>12.2</v>
      </c>
      <c r="H26" s="75">
        <v>12.2</v>
      </c>
      <c r="I26" s="76">
        <v>8.1999999999999993</v>
      </c>
      <c r="J26" s="12">
        <f>SUM(D26:I26)</f>
        <v>65</v>
      </c>
    </row>
    <row r="27" spans="1:26" ht="80.400000000000006" customHeight="1" x14ac:dyDescent="0.3">
      <c r="Z27" s="34"/>
    </row>
    <row r="29" spans="1:26" s="7" customFormat="1" ht="18" customHeight="1" x14ac:dyDescent="0.3">
      <c r="A29" s="6" t="s">
        <v>7</v>
      </c>
      <c r="B29" s="6"/>
      <c r="C29" s="31"/>
      <c r="D29" s="31"/>
      <c r="E29" s="6" t="s">
        <v>101</v>
      </c>
      <c r="G29" s="50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6" s="7" customFormat="1" ht="15" customHeight="1" thickBot="1" x14ac:dyDescent="0.35">
      <c r="A30" s="8"/>
      <c r="B30" s="66" t="s">
        <v>15</v>
      </c>
      <c r="C30" s="7" t="s">
        <v>5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6" s="7" customFormat="1" ht="15" customHeight="1" x14ac:dyDescent="0.3">
      <c r="A31" s="9" t="s">
        <v>1</v>
      </c>
      <c r="B31" s="5"/>
      <c r="C31" s="65"/>
      <c r="D31" s="55">
        <v>2</v>
      </c>
      <c r="E31" s="56">
        <v>4</v>
      </c>
      <c r="F31" s="56">
        <v>6</v>
      </c>
      <c r="G31" s="56">
        <v>8</v>
      </c>
      <c r="H31" s="56">
        <v>10</v>
      </c>
      <c r="I31" s="56">
        <v>12</v>
      </c>
      <c r="J31" s="32"/>
      <c r="K31" s="32"/>
      <c r="L31" s="32"/>
      <c r="M31" s="32"/>
    </row>
    <row r="32" spans="1:26" s="18" customFormat="1" ht="15" customHeight="1" x14ac:dyDescent="0.3">
      <c r="A32" s="16">
        <v>22</v>
      </c>
      <c r="B32" s="17" t="s">
        <v>52</v>
      </c>
      <c r="C32" s="57" t="s">
        <v>83</v>
      </c>
      <c r="D32" s="81">
        <v>0.1701388888888889</v>
      </c>
      <c r="E32" s="74">
        <v>0.79513888888888884</v>
      </c>
      <c r="F32" s="74">
        <v>0.83680555555555547</v>
      </c>
      <c r="G32" s="74">
        <v>0.87847222222222221</v>
      </c>
      <c r="H32" s="74">
        <v>0.9145833333333333</v>
      </c>
      <c r="I32" s="73">
        <v>0.94444444444444453</v>
      </c>
      <c r="J32" s="33"/>
      <c r="K32" s="33"/>
      <c r="L32" s="33"/>
      <c r="M32" s="33"/>
    </row>
    <row r="33" spans="1:13" s="18" customFormat="1" ht="15" customHeight="1" x14ac:dyDescent="0.3">
      <c r="A33" s="16">
        <v>21</v>
      </c>
      <c r="B33" s="17" t="s">
        <v>51</v>
      </c>
      <c r="C33" s="57"/>
      <c r="D33" s="74">
        <f t="shared" ref="D33:D34" si="40">D32+"0:01"</f>
        <v>0.17083333333333334</v>
      </c>
      <c r="E33" s="74">
        <f t="shared" ref="E33" si="41">E32+"0:01"</f>
        <v>0.79583333333333328</v>
      </c>
      <c r="F33" s="74">
        <f t="shared" ref="F33" si="42">F32+"0:01"</f>
        <v>0.83749999999999991</v>
      </c>
      <c r="G33" s="74">
        <f t="shared" ref="G33:H33" si="43">G32+"0:01"</f>
        <v>0.87916666666666665</v>
      </c>
      <c r="H33" s="74">
        <f t="shared" si="43"/>
        <v>0.91527777777777775</v>
      </c>
      <c r="I33" s="74">
        <f t="shared" ref="I33" si="44">I32+"0:01"</f>
        <v>0.94513888888888897</v>
      </c>
      <c r="J33" s="33"/>
      <c r="K33" s="33"/>
      <c r="L33" s="33"/>
      <c r="M33" s="33"/>
    </row>
    <row r="34" spans="1:13" s="18" customFormat="1" ht="15" customHeight="1" x14ac:dyDescent="0.3">
      <c r="A34" s="16">
        <v>20</v>
      </c>
      <c r="B34" s="17" t="s">
        <v>50</v>
      </c>
      <c r="C34" s="57"/>
      <c r="D34" s="74">
        <f t="shared" si="40"/>
        <v>0.17152777777777778</v>
      </c>
      <c r="E34" s="74">
        <f t="shared" ref="E34" si="45">E33+"0:01"</f>
        <v>0.79652777777777772</v>
      </c>
      <c r="F34" s="74">
        <f t="shared" ref="F34" si="46">F33+"0:01"</f>
        <v>0.83819444444444435</v>
      </c>
      <c r="G34" s="74">
        <f t="shared" ref="G34:H34" si="47">G33+"0:01"</f>
        <v>0.87986111111111109</v>
      </c>
      <c r="H34" s="74">
        <f t="shared" si="47"/>
        <v>0.91597222222222219</v>
      </c>
      <c r="I34" s="74">
        <f t="shared" ref="I34" si="48">I33+"0:01"</f>
        <v>0.94583333333333341</v>
      </c>
      <c r="J34" s="33"/>
      <c r="K34" s="33"/>
      <c r="L34" s="33"/>
      <c r="M34" s="33"/>
    </row>
    <row r="35" spans="1:13" s="18" customFormat="1" ht="15" customHeight="1" x14ac:dyDescent="0.3">
      <c r="A35" s="16">
        <v>19</v>
      </c>
      <c r="B35" s="17" t="s">
        <v>49</v>
      </c>
      <c r="C35" s="57"/>
      <c r="D35" s="74">
        <f t="shared" ref="D35:D43" si="49">D34+"0:01"</f>
        <v>0.17222222222222222</v>
      </c>
      <c r="E35" s="74">
        <f t="shared" ref="E35" si="50">E34+"0:02"</f>
        <v>0.79791666666666661</v>
      </c>
      <c r="F35" s="74">
        <f t="shared" ref="F35:F36" si="51">F34+"0:02"</f>
        <v>0.83958333333333324</v>
      </c>
      <c r="G35" s="74">
        <f t="shared" ref="G35:H35" si="52">G34+"0:02"</f>
        <v>0.88124999999999998</v>
      </c>
      <c r="H35" s="74">
        <f t="shared" si="52"/>
        <v>0.91736111111111107</v>
      </c>
      <c r="I35" s="74">
        <f t="shared" ref="I35" si="53">I34+"0:02"</f>
        <v>0.9472222222222223</v>
      </c>
      <c r="J35" s="33"/>
      <c r="K35" s="33"/>
      <c r="L35" s="33"/>
      <c r="M35" s="33"/>
    </row>
    <row r="36" spans="1:13" s="18" customFormat="1" ht="15" customHeight="1" x14ac:dyDescent="0.3">
      <c r="A36" s="16">
        <v>18</v>
      </c>
      <c r="B36" s="17" t="s">
        <v>60</v>
      </c>
      <c r="C36" s="57"/>
      <c r="D36" s="74">
        <f>D35+"0:02"</f>
        <v>0.1736111111111111</v>
      </c>
      <c r="E36" s="74">
        <f t="shared" ref="E36" si="54">E35+"0:02"</f>
        <v>0.79930555555555549</v>
      </c>
      <c r="F36" s="74">
        <f t="shared" si="51"/>
        <v>0.84097222222222212</v>
      </c>
      <c r="G36" s="74">
        <f t="shared" ref="G36:H36" si="55">G35+"0:02"</f>
        <v>0.88263888888888886</v>
      </c>
      <c r="H36" s="74">
        <f t="shared" si="55"/>
        <v>0.91874999999999996</v>
      </c>
      <c r="I36" s="74">
        <f t="shared" ref="I36" si="56">I35+"0:02"</f>
        <v>0.94861111111111118</v>
      </c>
      <c r="J36" s="33"/>
      <c r="K36" s="33"/>
      <c r="L36" s="33"/>
      <c r="M36" s="33"/>
    </row>
    <row r="37" spans="1:13" s="18" customFormat="1" ht="15" customHeight="1" x14ac:dyDescent="0.3">
      <c r="A37" s="16">
        <v>17</v>
      </c>
      <c r="B37" s="17" t="s">
        <v>59</v>
      </c>
      <c r="C37" s="57"/>
      <c r="D37" s="74">
        <f t="shared" si="49"/>
        <v>0.17430555555555555</v>
      </c>
      <c r="E37" s="74">
        <f t="shared" ref="E37" si="57">E36+"0:03"</f>
        <v>0.80138888888888882</v>
      </c>
      <c r="F37" s="74">
        <f t="shared" ref="F37" si="58">F36+"0:03"</f>
        <v>0.84305555555555545</v>
      </c>
      <c r="G37" s="74">
        <f t="shared" ref="G37:H37" si="59">G36+"0:03"</f>
        <v>0.88472222222222219</v>
      </c>
      <c r="H37" s="74">
        <f t="shared" si="59"/>
        <v>0.92083333333333328</v>
      </c>
      <c r="I37" s="74">
        <f t="shared" ref="I37" si="60">I36+"0:03"</f>
        <v>0.95069444444444451</v>
      </c>
      <c r="J37" s="33"/>
      <c r="K37" s="33"/>
      <c r="L37" s="33"/>
      <c r="M37" s="33"/>
    </row>
    <row r="38" spans="1:13" s="18" customFormat="1" ht="15" customHeight="1" x14ac:dyDescent="0.3">
      <c r="A38" s="16">
        <v>16</v>
      </c>
      <c r="B38" s="17" t="s">
        <v>58</v>
      </c>
      <c r="C38" s="57"/>
      <c r="D38" s="74">
        <f t="shared" si="49"/>
        <v>0.17499999999999999</v>
      </c>
      <c r="E38" s="74">
        <f t="shared" ref="E38" si="61">E37+"0:02"</f>
        <v>0.8027777777777777</v>
      </c>
      <c r="F38" s="74">
        <f t="shared" ref="F38" si="62">F37+"0:02"</f>
        <v>0.84444444444444433</v>
      </c>
      <c r="G38" s="74">
        <f t="shared" ref="G38:H38" si="63">G37+"0:02"</f>
        <v>0.88611111111111107</v>
      </c>
      <c r="H38" s="74">
        <f t="shared" si="63"/>
        <v>0.92222222222222217</v>
      </c>
      <c r="I38" s="74">
        <f t="shared" ref="I38" si="64">I37+"0:02"</f>
        <v>0.95208333333333339</v>
      </c>
      <c r="J38" s="33"/>
      <c r="K38" s="33"/>
      <c r="L38" s="33"/>
      <c r="M38" s="33"/>
    </row>
    <row r="39" spans="1:13" s="18" customFormat="1" ht="15" customHeight="1" x14ac:dyDescent="0.3">
      <c r="A39" s="16">
        <v>15</v>
      </c>
      <c r="B39" s="17" t="s">
        <v>57</v>
      </c>
      <c r="C39" s="57"/>
      <c r="D39" s="74">
        <f t="shared" si="49"/>
        <v>0.17569444444444443</v>
      </c>
      <c r="E39" s="74">
        <f t="shared" ref="E39" si="65">E38+"0:01"</f>
        <v>0.80347222222222214</v>
      </c>
      <c r="F39" s="74">
        <f t="shared" ref="F39" si="66">F38+"0:01"</f>
        <v>0.84513888888888877</v>
      </c>
      <c r="G39" s="74">
        <f t="shared" ref="G39:H39" si="67">G38+"0:01"</f>
        <v>0.88680555555555551</v>
      </c>
      <c r="H39" s="74">
        <f t="shared" si="67"/>
        <v>0.92291666666666661</v>
      </c>
      <c r="I39" s="74">
        <f t="shared" ref="I39" si="68">I38+"0:01"</f>
        <v>0.95277777777777783</v>
      </c>
      <c r="J39" s="33"/>
      <c r="K39" s="33"/>
      <c r="L39" s="33"/>
      <c r="M39" s="33"/>
    </row>
    <row r="40" spans="1:13" s="18" customFormat="1" ht="15" customHeight="1" x14ac:dyDescent="0.3">
      <c r="A40" s="16">
        <v>14</v>
      </c>
      <c r="B40" s="17" t="s">
        <v>56</v>
      </c>
      <c r="C40" s="57"/>
      <c r="D40" s="74">
        <f t="shared" si="49"/>
        <v>0.17638888888888887</v>
      </c>
      <c r="E40" s="74">
        <f t="shared" ref="E40" si="69">E39+"0:02"</f>
        <v>0.80486111111111103</v>
      </c>
      <c r="F40" s="74">
        <f t="shared" ref="F40" si="70">F39+"0:02"</f>
        <v>0.84652777777777766</v>
      </c>
      <c r="G40" s="74">
        <f t="shared" ref="G40:H40" si="71">G39+"0:02"</f>
        <v>0.8881944444444444</v>
      </c>
      <c r="H40" s="74">
        <f t="shared" si="71"/>
        <v>0.92430555555555549</v>
      </c>
      <c r="I40" s="74">
        <f t="shared" ref="I40" si="72">I39+"0:02"</f>
        <v>0.95416666666666672</v>
      </c>
      <c r="J40" s="33"/>
      <c r="K40" s="33"/>
      <c r="L40" s="33"/>
      <c r="M40" s="33"/>
    </row>
    <row r="41" spans="1:13" s="18" customFormat="1" ht="15" customHeight="1" x14ac:dyDescent="0.3">
      <c r="A41" s="16">
        <v>13</v>
      </c>
      <c r="B41" s="17" t="s">
        <v>47</v>
      </c>
      <c r="C41" s="57"/>
      <c r="D41" s="74">
        <f>D40+"0:02"</f>
        <v>0.17777777777777776</v>
      </c>
      <c r="E41" s="74">
        <f t="shared" ref="E41" si="73">E40+"0:02"</f>
        <v>0.80624999999999991</v>
      </c>
      <c r="F41" s="74">
        <f t="shared" ref="F41" si="74">F40+"0:02"</f>
        <v>0.84791666666666654</v>
      </c>
      <c r="G41" s="74">
        <f t="shared" ref="G41:H41" si="75">G40+"0:02"</f>
        <v>0.88958333333333328</v>
      </c>
      <c r="H41" s="74">
        <f t="shared" si="75"/>
        <v>0.92569444444444438</v>
      </c>
      <c r="I41" s="74">
        <f t="shared" ref="I41" si="76">I40+"0:02"</f>
        <v>0.9555555555555556</v>
      </c>
      <c r="J41" s="33"/>
      <c r="K41" s="33"/>
      <c r="L41" s="33"/>
      <c r="M41" s="33"/>
    </row>
    <row r="42" spans="1:13" s="18" customFormat="1" ht="15" customHeight="1" x14ac:dyDescent="0.3">
      <c r="A42" s="16">
        <v>12</v>
      </c>
      <c r="B42" s="17" t="s">
        <v>46</v>
      </c>
      <c r="C42" s="57"/>
      <c r="D42" s="74">
        <f t="shared" si="49"/>
        <v>0.1784722222222222</v>
      </c>
      <c r="E42" s="74">
        <f t="shared" ref="E42" si="77">E41+"0:02"</f>
        <v>0.8076388888888888</v>
      </c>
      <c r="F42" s="74">
        <f t="shared" ref="F42" si="78">F41+"0:02"</f>
        <v>0.84930555555555542</v>
      </c>
      <c r="G42" s="74">
        <f t="shared" ref="G42:H42" si="79">G41+"0:02"</f>
        <v>0.89097222222222217</v>
      </c>
      <c r="H42" s="74">
        <f t="shared" si="79"/>
        <v>0.92708333333333326</v>
      </c>
      <c r="I42" s="74">
        <f t="shared" ref="I42" si="80">I41+"0:02"</f>
        <v>0.95694444444444449</v>
      </c>
      <c r="J42" s="33"/>
      <c r="K42" s="33"/>
      <c r="L42" s="33"/>
      <c r="M42" s="33"/>
    </row>
    <row r="43" spans="1:13" s="18" customFormat="1" ht="15" customHeight="1" x14ac:dyDescent="0.3">
      <c r="A43" s="16">
        <v>11</v>
      </c>
      <c r="B43" s="17" t="s">
        <v>45</v>
      </c>
      <c r="C43" s="57"/>
      <c r="D43" s="74">
        <f t="shared" si="49"/>
        <v>0.17916666666666664</v>
      </c>
      <c r="E43" s="74">
        <f t="shared" ref="E43" si="81">E42+"0:02"</f>
        <v>0.80902777777777768</v>
      </c>
      <c r="F43" s="74">
        <f t="shared" ref="F43" si="82">F42+"0:02"</f>
        <v>0.85069444444444431</v>
      </c>
      <c r="G43" s="74">
        <f t="shared" ref="G43:H43" si="83">G42+"0:02"</f>
        <v>0.89236111111111105</v>
      </c>
      <c r="H43" s="74">
        <f t="shared" si="83"/>
        <v>0.92847222222222214</v>
      </c>
      <c r="I43" s="74">
        <f t="shared" ref="I43" si="84">I42+"0:02"</f>
        <v>0.95833333333333337</v>
      </c>
      <c r="J43" s="33"/>
      <c r="K43" s="33"/>
      <c r="L43" s="33"/>
      <c r="M43" s="33"/>
    </row>
    <row r="44" spans="1:13" s="18" customFormat="1" ht="15" customHeight="1" x14ac:dyDescent="0.3">
      <c r="A44" s="16">
        <v>10</v>
      </c>
      <c r="B44" s="17" t="s">
        <v>23</v>
      </c>
      <c r="C44" s="57"/>
      <c r="D44" s="79" t="s">
        <v>14</v>
      </c>
      <c r="E44" s="74">
        <f t="shared" ref="E44" si="85">E43+"0:01"</f>
        <v>0.80972222222222212</v>
      </c>
      <c r="F44" s="74">
        <f t="shared" ref="F44" si="86">F43+"0:01"</f>
        <v>0.85138888888888875</v>
      </c>
      <c r="G44" s="74">
        <f t="shared" ref="G44:H44" si="87">G43+"0:01"</f>
        <v>0.89305555555555549</v>
      </c>
      <c r="H44" s="74">
        <f t="shared" si="87"/>
        <v>0.92916666666666659</v>
      </c>
      <c r="I44" s="74"/>
      <c r="J44" s="33"/>
      <c r="K44" s="33"/>
      <c r="L44" s="33"/>
      <c r="M44" s="33"/>
    </row>
    <row r="45" spans="1:13" s="18" customFormat="1" ht="15" customHeight="1" x14ac:dyDescent="0.3">
      <c r="A45" s="16">
        <v>9</v>
      </c>
      <c r="B45" s="17" t="s">
        <v>55</v>
      </c>
      <c r="C45" s="57"/>
      <c r="D45" s="79" t="s">
        <v>14</v>
      </c>
      <c r="E45" s="74">
        <f t="shared" ref="E45" si="88">E44+"0:02"</f>
        <v>0.81111111111111101</v>
      </c>
      <c r="F45" s="74">
        <f t="shared" ref="F45" si="89">F44+"0:02"</f>
        <v>0.85277777777777763</v>
      </c>
      <c r="G45" s="74">
        <f t="shared" ref="G45:H45" si="90">G44+"0:02"</f>
        <v>0.89444444444444438</v>
      </c>
      <c r="H45" s="74">
        <f t="shared" si="90"/>
        <v>0.93055555555555547</v>
      </c>
      <c r="I45" s="74"/>
      <c r="J45" s="33"/>
      <c r="K45" s="33"/>
      <c r="L45" s="33"/>
      <c r="M45" s="33"/>
    </row>
    <row r="46" spans="1:13" s="18" customFormat="1" ht="15" customHeight="1" x14ac:dyDescent="0.3">
      <c r="A46" s="16">
        <v>8</v>
      </c>
      <c r="B46" s="17" t="s">
        <v>23</v>
      </c>
      <c r="C46" s="57"/>
      <c r="D46" s="79" t="s">
        <v>14</v>
      </c>
      <c r="E46" s="79" t="s">
        <v>14</v>
      </c>
      <c r="F46" s="79" t="s">
        <v>14</v>
      </c>
      <c r="G46" s="79" t="s">
        <v>14</v>
      </c>
      <c r="H46" s="79" t="s">
        <v>14</v>
      </c>
      <c r="I46" s="79" t="s">
        <v>14</v>
      </c>
      <c r="J46" s="33"/>
      <c r="K46" s="33"/>
      <c r="L46" s="33"/>
      <c r="M46" s="33"/>
    </row>
    <row r="47" spans="1:13" s="18" customFormat="1" ht="15" customHeight="1" x14ac:dyDescent="0.3">
      <c r="A47" s="16">
        <v>7</v>
      </c>
      <c r="B47" s="17" t="s">
        <v>44</v>
      </c>
      <c r="C47" s="57"/>
      <c r="D47" s="74">
        <f>D43+"0:02"</f>
        <v>0.18055555555555552</v>
      </c>
      <c r="E47" s="74">
        <f t="shared" ref="E47" si="91">E45+"0:03"</f>
        <v>0.81319444444444433</v>
      </c>
      <c r="F47" s="74">
        <f t="shared" ref="F47" si="92">F45+"0:03"</f>
        <v>0.85486111111111096</v>
      </c>
      <c r="G47" s="74">
        <f t="shared" ref="G47:H47" si="93">G45+"0:03"</f>
        <v>0.8965277777777777</v>
      </c>
      <c r="H47" s="74">
        <f t="shared" si="93"/>
        <v>0.9326388888888888</v>
      </c>
      <c r="I47" s="74">
        <f>I43+"0:03"</f>
        <v>0.9604166666666667</v>
      </c>
      <c r="J47" s="33"/>
      <c r="K47" s="33"/>
      <c r="L47" s="33"/>
      <c r="M47" s="33"/>
    </row>
    <row r="48" spans="1:13" s="18" customFormat="1" ht="15" customHeight="1" x14ac:dyDescent="0.3">
      <c r="A48" s="16">
        <v>6</v>
      </c>
      <c r="B48" s="97" t="s">
        <v>97</v>
      </c>
      <c r="C48" s="57"/>
      <c r="D48" s="74">
        <f>D47+"0:03"</f>
        <v>0.18263888888888885</v>
      </c>
      <c r="E48" s="74">
        <f>E47+"0:03"</f>
        <v>0.81527777777777766</v>
      </c>
      <c r="F48" s="74">
        <f>F47+"0:03"</f>
        <v>0.85694444444444429</v>
      </c>
      <c r="G48" s="74">
        <f>G47+"0:03"</f>
        <v>0.89861111111111103</v>
      </c>
      <c r="H48" s="74">
        <f>H47+"0:03"</f>
        <v>0.93472222222222212</v>
      </c>
      <c r="I48" s="74">
        <v>0.96180555555555547</v>
      </c>
      <c r="J48" s="33"/>
      <c r="K48" s="33"/>
      <c r="L48" s="33"/>
      <c r="M48" s="33"/>
    </row>
    <row r="49" spans="1:13" s="18" customFormat="1" ht="15" customHeight="1" x14ac:dyDescent="0.3">
      <c r="A49" s="16">
        <v>5</v>
      </c>
      <c r="B49" s="17" t="s">
        <v>40</v>
      </c>
      <c r="C49" s="57"/>
      <c r="D49" s="74">
        <f t="shared" ref="D49" si="94">D48+"0:01"</f>
        <v>0.18333333333333329</v>
      </c>
      <c r="E49" s="74"/>
      <c r="F49" s="74"/>
      <c r="G49" s="74"/>
      <c r="H49" s="74">
        <f t="shared" ref="H49" si="95">H48+"0:01"</f>
        <v>0.93541666666666656</v>
      </c>
      <c r="I49" s="74" t="s">
        <v>42</v>
      </c>
      <c r="J49" s="33"/>
      <c r="K49" s="33"/>
      <c r="L49" s="33"/>
      <c r="M49" s="33"/>
    </row>
    <row r="50" spans="1:13" s="18" customFormat="1" ht="15" customHeight="1" x14ac:dyDescent="0.3">
      <c r="A50" s="16">
        <v>4</v>
      </c>
      <c r="B50" s="17" t="s">
        <v>39</v>
      </c>
      <c r="C50" s="57"/>
      <c r="D50" s="79" t="s">
        <v>14</v>
      </c>
      <c r="E50" s="79"/>
      <c r="F50" s="79"/>
      <c r="G50" s="79"/>
      <c r="H50" s="79" t="s">
        <v>14</v>
      </c>
      <c r="I50" s="82"/>
      <c r="J50" s="33"/>
      <c r="K50" s="33"/>
      <c r="L50" s="33"/>
      <c r="M50" s="33"/>
    </row>
    <row r="51" spans="1:13" s="18" customFormat="1" ht="15" customHeight="1" x14ac:dyDescent="0.3">
      <c r="A51" s="16">
        <v>3</v>
      </c>
      <c r="B51" s="17" t="s">
        <v>43</v>
      </c>
      <c r="C51" s="57"/>
      <c r="D51" s="74">
        <f>D49+"0:01"</f>
        <v>0.18402777777777773</v>
      </c>
      <c r="E51" s="74"/>
      <c r="F51" s="74"/>
      <c r="G51" s="74"/>
      <c r="H51" s="74">
        <f>H49+"0:01"</f>
        <v>0.93611111111111101</v>
      </c>
      <c r="I51" s="74"/>
      <c r="J51" s="33"/>
      <c r="K51" s="33"/>
      <c r="L51" s="33"/>
      <c r="M51" s="33"/>
    </row>
    <row r="52" spans="1:13" s="18" customFormat="1" ht="15" customHeight="1" x14ac:dyDescent="0.3">
      <c r="A52" s="16">
        <v>2</v>
      </c>
      <c r="B52" s="17" t="s">
        <v>54</v>
      </c>
      <c r="C52" s="57"/>
      <c r="D52" s="74">
        <f>D51+"0:01"</f>
        <v>0.18472222222222218</v>
      </c>
      <c r="E52" s="74"/>
      <c r="F52" s="74"/>
      <c r="G52" s="74"/>
      <c r="H52" s="74">
        <f>H51+"0:01"</f>
        <v>0.93680555555555545</v>
      </c>
      <c r="I52" s="74"/>
      <c r="J52" s="33"/>
      <c r="K52" s="33"/>
      <c r="L52" s="33"/>
      <c r="M52" s="33"/>
    </row>
    <row r="53" spans="1:13" s="18" customFormat="1" ht="15" customHeight="1" thickBot="1" x14ac:dyDescent="0.35">
      <c r="A53" s="19">
        <v>1</v>
      </c>
      <c r="B53" s="20" t="s">
        <v>53</v>
      </c>
      <c r="C53" s="58" t="s">
        <v>84</v>
      </c>
      <c r="D53" s="74">
        <f>D52+"0:04"</f>
        <v>0.18749999999999994</v>
      </c>
      <c r="E53" s="74"/>
      <c r="F53" s="74"/>
      <c r="G53" s="74"/>
      <c r="H53" s="74">
        <f>H52+"0:04"</f>
        <v>0.93958333333333321</v>
      </c>
      <c r="I53" s="74"/>
      <c r="J53" s="33"/>
    </row>
    <row r="54" spans="1:13" s="10" customFormat="1" ht="15" customHeight="1" thickBot="1" x14ac:dyDescent="0.35">
      <c r="B54" s="13" t="s">
        <v>6</v>
      </c>
      <c r="C54" s="11"/>
      <c r="D54" s="80">
        <v>10.6</v>
      </c>
      <c r="E54" s="75">
        <v>9.8000000000000007</v>
      </c>
      <c r="F54" s="75">
        <v>10.6</v>
      </c>
      <c r="G54" s="75">
        <v>9.8000000000000007</v>
      </c>
      <c r="H54" s="75">
        <v>12.2</v>
      </c>
      <c r="I54" s="75">
        <v>12.2</v>
      </c>
      <c r="J54" s="12">
        <f>SUM(C54:I54)</f>
        <v>65.2</v>
      </c>
    </row>
    <row r="55" spans="1:13" s="7" customFormat="1" ht="13.8" x14ac:dyDescent="0.3"/>
    <row r="56" spans="1:13" s="7" customFormat="1" ht="13.8" x14ac:dyDescent="0.3"/>
  </sheetData>
  <sheetProtection formatCells="0" formatColumns="0" formatRows="0" insertColumns="0" insertRows="0" insertHyperlinks="0" deleteColumns="0" deleteRows="0" sort="0" autoFilter="0" pivotTables="0"/>
  <pageMargins left="0.25" right="0.25" top="0.75" bottom="0.75" header="0.3" footer="0.3"/>
  <pageSetup orientation="landscape" r:id="rId1"/>
  <headerFooter>
    <oddHeader>&amp;RPrinz návrh jízdních řádů 2026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03A2-F3C3-4AD2-B8E5-FF46E1B2705C}">
  <sheetPr>
    <pageSetUpPr fitToPage="1"/>
  </sheetPr>
  <dimension ref="A1:AK41"/>
  <sheetViews>
    <sheetView zoomScaleNormal="100" workbookViewId="0">
      <selection activeCell="L42" sqref="L42"/>
    </sheetView>
  </sheetViews>
  <sheetFormatPr defaultColWidth="9.109375" defaultRowHeight="13.2" x14ac:dyDescent="0.3"/>
  <cols>
    <col min="1" max="1" width="4.6640625" style="26" customWidth="1"/>
    <col min="2" max="2" width="23.5546875" style="26" customWidth="1"/>
    <col min="3" max="3" width="5" style="26" customWidth="1"/>
    <col min="4" max="4" width="7.33203125" style="26" customWidth="1"/>
    <col min="5" max="14" width="4.6640625" style="26" customWidth="1"/>
    <col min="15" max="15" width="5.5546875" style="26" customWidth="1"/>
    <col min="16" max="35" width="5.77734375" style="26" customWidth="1"/>
    <col min="36" max="36" width="4.6640625" style="26" customWidth="1"/>
    <col min="37" max="16384" width="9.109375" style="26"/>
  </cols>
  <sheetData>
    <row r="1" spans="1:34" s="18" customFormat="1" ht="15" customHeight="1" x14ac:dyDescent="0.3">
      <c r="A1" s="6" t="s">
        <v>8</v>
      </c>
      <c r="B1" s="8"/>
      <c r="C1" s="6" t="s">
        <v>85</v>
      </c>
      <c r="D1" s="38"/>
    </row>
    <row r="2" spans="1:34" s="18" customFormat="1" ht="15" customHeight="1" x14ac:dyDescent="0.3">
      <c r="A2" s="6"/>
      <c r="B2" s="8"/>
      <c r="C2" s="6"/>
      <c r="D2" s="38"/>
    </row>
    <row r="3" spans="1:34" s="29" customFormat="1" ht="15" customHeight="1" thickBot="1" x14ac:dyDescent="0.35">
      <c r="A3" s="30"/>
      <c r="B3" s="66" t="s">
        <v>15</v>
      </c>
    </row>
    <row r="4" spans="1:34" s="29" customFormat="1" ht="15" customHeight="1" x14ac:dyDescent="0.3">
      <c r="A4" s="121" t="s">
        <v>1</v>
      </c>
      <c r="B4" s="110"/>
      <c r="C4" s="122"/>
      <c r="D4" s="122">
        <v>1</v>
      </c>
      <c r="E4" s="122">
        <f>D4+2</f>
        <v>3</v>
      </c>
      <c r="F4" s="122">
        <f t="shared" ref="F4:AH4" si="0">E4+2</f>
        <v>5</v>
      </c>
      <c r="G4" s="122">
        <f t="shared" si="0"/>
        <v>7</v>
      </c>
      <c r="H4" s="122">
        <f t="shared" si="0"/>
        <v>9</v>
      </c>
      <c r="I4" s="122">
        <f t="shared" si="0"/>
        <v>11</v>
      </c>
      <c r="J4" s="122">
        <f t="shared" si="0"/>
        <v>13</v>
      </c>
      <c r="K4" s="122">
        <f t="shared" si="0"/>
        <v>15</v>
      </c>
      <c r="L4" s="122">
        <f t="shared" si="0"/>
        <v>17</v>
      </c>
      <c r="M4" s="122">
        <f t="shared" si="0"/>
        <v>19</v>
      </c>
      <c r="N4" s="122">
        <f t="shared" si="0"/>
        <v>21</v>
      </c>
      <c r="O4" s="122">
        <f t="shared" si="0"/>
        <v>23</v>
      </c>
      <c r="P4" s="122">
        <f t="shared" si="0"/>
        <v>25</v>
      </c>
      <c r="Q4" s="122">
        <f t="shared" si="0"/>
        <v>27</v>
      </c>
      <c r="R4" s="122">
        <f t="shared" si="0"/>
        <v>29</v>
      </c>
      <c r="S4" s="122"/>
      <c r="T4" s="122">
        <v>33</v>
      </c>
      <c r="U4" s="122">
        <f t="shared" si="0"/>
        <v>35</v>
      </c>
      <c r="V4" s="122">
        <f t="shared" si="0"/>
        <v>37</v>
      </c>
      <c r="W4" s="122">
        <f t="shared" si="0"/>
        <v>39</v>
      </c>
      <c r="X4" s="122">
        <f t="shared" si="0"/>
        <v>41</v>
      </c>
      <c r="Y4" s="122">
        <f t="shared" si="0"/>
        <v>43</v>
      </c>
      <c r="Z4" s="122">
        <f t="shared" si="0"/>
        <v>45</v>
      </c>
      <c r="AA4" s="122">
        <f t="shared" si="0"/>
        <v>47</v>
      </c>
      <c r="AB4" s="122">
        <f t="shared" si="0"/>
        <v>49</v>
      </c>
      <c r="AC4" s="122">
        <f t="shared" si="0"/>
        <v>51</v>
      </c>
      <c r="AD4" s="122">
        <f t="shared" si="0"/>
        <v>53</v>
      </c>
      <c r="AE4" s="122">
        <f t="shared" si="0"/>
        <v>55</v>
      </c>
      <c r="AF4" s="122"/>
      <c r="AG4" s="122">
        <v>59</v>
      </c>
      <c r="AH4" s="123">
        <f t="shared" si="0"/>
        <v>61</v>
      </c>
    </row>
    <row r="5" spans="1:34" s="29" customFormat="1" ht="15" customHeight="1" x14ac:dyDescent="0.3">
      <c r="A5" s="124">
        <v>1</v>
      </c>
      <c r="B5" s="97" t="s">
        <v>97</v>
      </c>
      <c r="C5" s="78" t="s">
        <v>83</v>
      </c>
      <c r="D5" s="78"/>
      <c r="E5" s="83" t="s">
        <v>3</v>
      </c>
      <c r="F5" s="83"/>
      <c r="G5" s="83"/>
      <c r="H5" s="84">
        <v>0.25555555555555559</v>
      </c>
      <c r="I5" s="84"/>
      <c r="J5" s="84"/>
      <c r="K5" s="84">
        <v>0.29722222222222222</v>
      </c>
      <c r="L5" s="84"/>
      <c r="M5" s="84">
        <v>0.33888888888888902</v>
      </c>
      <c r="N5" s="84">
        <v>0.38055555555555598</v>
      </c>
      <c r="O5" s="84">
        <v>0.422222222222222</v>
      </c>
      <c r="P5" s="84">
        <v>0.46388888888888902</v>
      </c>
      <c r="Q5" s="84">
        <v>0.50555555555555598</v>
      </c>
      <c r="R5" s="84">
        <v>0.54722222222222205</v>
      </c>
      <c r="S5" s="84"/>
      <c r="T5" s="84"/>
      <c r="U5" s="84">
        <v>0.58888888888888902</v>
      </c>
      <c r="V5" s="84"/>
      <c r="W5" s="84"/>
      <c r="X5" s="84">
        <v>0.63055555555555598</v>
      </c>
      <c r="Y5" s="84"/>
      <c r="Z5" s="84"/>
      <c r="AA5" s="84">
        <v>0.67222222222222205</v>
      </c>
      <c r="AB5" s="84"/>
      <c r="AC5" s="84"/>
      <c r="AD5" s="84">
        <v>0.71388888888888902</v>
      </c>
      <c r="AE5" s="84"/>
      <c r="AF5" s="84"/>
      <c r="AG5" s="84">
        <v>0.75555555555555598</v>
      </c>
      <c r="AH5" s="128">
        <v>0.83888888888888891</v>
      </c>
    </row>
    <row r="6" spans="1:34" s="29" customFormat="1" ht="15" customHeight="1" x14ac:dyDescent="0.3">
      <c r="A6" s="124">
        <v>2</v>
      </c>
      <c r="B6" s="120" t="s">
        <v>44</v>
      </c>
      <c r="C6" s="78"/>
      <c r="D6" s="78"/>
      <c r="E6" s="74">
        <f>E5+"0:03"</f>
        <v>0.21597222222222223</v>
      </c>
      <c r="F6" s="74"/>
      <c r="G6" s="74"/>
      <c r="H6" s="74">
        <f t="shared" ref="H6:AH6" si="1">H5+"0:03"</f>
        <v>0.25763888888888892</v>
      </c>
      <c r="I6" s="74"/>
      <c r="J6" s="74"/>
      <c r="K6" s="74">
        <f t="shared" si="1"/>
        <v>0.29930555555555555</v>
      </c>
      <c r="L6" s="74"/>
      <c r="M6" s="74">
        <f t="shared" si="1"/>
        <v>0.34097222222222234</v>
      </c>
      <c r="N6" s="74">
        <f t="shared" si="1"/>
        <v>0.38263888888888931</v>
      </c>
      <c r="O6" s="74">
        <f t="shared" si="1"/>
        <v>0.42430555555555532</v>
      </c>
      <c r="P6" s="74">
        <f t="shared" si="1"/>
        <v>0.46597222222222234</v>
      </c>
      <c r="Q6" s="74">
        <f t="shared" si="1"/>
        <v>0.50763888888888931</v>
      </c>
      <c r="R6" s="74">
        <f t="shared" si="1"/>
        <v>0.54930555555555538</v>
      </c>
      <c r="S6" s="74"/>
      <c r="T6" s="74"/>
      <c r="U6" s="74">
        <f t="shared" si="1"/>
        <v>0.59097222222222234</v>
      </c>
      <c r="V6" s="74"/>
      <c r="W6" s="74"/>
      <c r="X6" s="74">
        <f t="shared" si="1"/>
        <v>0.63263888888888931</v>
      </c>
      <c r="Y6" s="74"/>
      <c r="Z6" s="74"/>
      <c r="AA6" s="74">
        <f t="shared" si="1"/>
        <v>0.67430555555555538</v>
      </c>
      <c r="AB6" s="74"/>
      <c r="AC6" s="74"/>
      <c r="AD6" s="74">
        <f t="shared" si="1"/>
        <v>0.71597222222222234</v>
      </c>
      <c r="AE6" s="74"/>
      <c r="AF6" s="74"/>
      <c r="AG6" s="74">
        <f t="shared" si="1"/>
        <v>0.75763888888888931</v>
      </c>
      <c r="AH6" s="103">
        <f t="shared" si="1"/>
        <v>0.84097222222222223</v>
      </c>
    </row>
    <row r="7" spans="1:34" s="29" customFormat="1" ht="15" customHeight="1" x14ac:dyDescent="0.3">
      <c r="A7" s="124">
        <v>3</v>
      </c>
      <c r="B7" s="120" t="s">
        <v>28</v>
      </c>
      <c r="C7" s="78"/>
      <c r="D7" s="78"/>
      <c r="E7" s="74">
        <f>E6+"0:02"</f>
        <v>0.21736111111111112</v>
      </c>
      <c r="F7" s="74"/>
      <c r="G7" s="74"/>
      <c r="H7" s="74">
        <f t="shared" ref="H7:AH10" si="2">H6+"0:02"</f>
        <v>0.2590277777777778</v>
      </c>
      <c r="I7" s="74"/>
      <c r="J7" s="74"/>
      <c r="K7" s="74">
        <f t="shared" si="2"/>
        <v>0.30069444444444443</v>
      </c>
      <c r="L7" s="74"/>
      <c r="M7" s="74">
        <f t="shared" si="2"/>
        <v>0.34236111111111123</v>
      </c>
      <c r="N7" s="74">
        <f t="shared" si="2"/>
        <v>0.38402777777777819</v>
      </c>
      <c r="O7" s="74">
        <f t="shared" si="2"/>
        <v>0.42569444444444421</v>
      </c>
      <c r="P7" s="74">
        <f t="shared" si="2"/>
        <v>0.46736111111111123</v>
      </c>
      <c r="Q7" s="74">
        <f t="shared" si="2"/>
        <v>0.50902777777777819</v>
      </c>
      <c r="R7" s="74">
        <f t="shared" si="2"/>
        <v>0.55069444444444426</v>
      </c>
      <c r="S7" s="74"/>
      <c r="T7" s="74"/>
      <c r="U7" s="74">
        <f t="shared" si="2"/>
        <v>0.59236111111111123</v>
      </c>
      <c r="V7" s="74"/>
      <c r="W7" s="74"/>
      <c r="X7" s="74">
        <f t="shared" si="2"/>
        <v>0.63402777777777819</v>
      </c>
      <c r="Y7" s="74"/>
      <c r="Z7" s="74"/>
      <c r="AA7" s="74">
        <f t="shared" si="2"/>
        <v>0.67569444444444426</v>
      </c>
      <c r="AB7" s="74"/>
      <c r="AC7" s="74"/>
      <c r="AD7" s="74">
        <f t="shared" si="2"/>
        <v>0.71736111111111123</v>
      </c>
      <c r="AE7" s="74"/>
      <c r="AF7" s="74"/>
      <c r="AG7" s="74">
        <f t="shared" si="2"/>
        <v>0.75902777777777819</v>
      </c>
      <c r="AH7" s="103">
        <f t="shared" si="2"/>
        <v>0.84236111111111112</v>
      </c>
    </row>
    <row r="8" spans="1:34" s="29" customFormat="1" ht="15" customHeight="1" x14ac:dyDescent="0.3">
      <c r="A8" s="124">
        <v>4</v>
      </c>
      <c r="B8" s="120" t="s">
        <v>20</v>
      </c>
      <c r="C8" s="78"/>
      <c r="D8" s="78"/>
      <c r="E8" s="74">
        <f>E7+"0:02"</f>
        <v>0.21875</v>
      </c>
      <c r="F8" s="74"/>
      <c r="G8" s="74"/>
      <c r="H8" s="74">
        <f t="shared" si="2"/>
        <v>0.26041666666666669</v>
      </c>
      <c r="I8" s="74"/>
      <c r="J8" s="74"/>
      <c r="K8" s="74">
        <f t="shared" si="2"/>
        <v>0.30208333333333331</v>
      </c>
      <c r="L8" s="74"/>
      <c r="M8" s="74">
        <f t="shared" si="2"/>
        <v>0.34375000000000011</v>
      </c>
      <c r="N8" s="74">
        <f t="shared" si="2"/>
        <v>0.38541666666666707</v>
      </c>
      <c r="O8" s="74">
        <f t="shared" si="2"/>
        <v>0.42708333333333309</v>
      </c>
      <c r="P8" s="74">
        <f t="shared" si="2"/>
        <v>0.46875000000000011</v>
      </c>
      <c r="Q8" s="74">
        <f t="shared" si="2"/>
        <v>0.51041666666666707</v>
      </c>
      <c r="R8" s="74">
        <f t="shared" si="2"/>
        <v>0.55208333333333315</v>
      </c>
      <c r="S8" s="74"/>
      <c r="T8" s="74"/>
      <c r="U8" s="74">
        <f t="shared" si="2"/>
        <v>0.59375000000000011</v>
      </c>
      <c r="V8" s="74"/>
      <c r="W8" s="74"/>
      <c r="X8" s="74">
        <f t="shared" si="2"/>
        <v>0.63541666666666707</v>
      </c>
      <c r="Y8" s="74"/>
      <c r="Z8" s="74"/>
      <c r="AA8" s="74">
        <f t="shared" si="2"/>
        <v>0.67708333333333315</v>
      </c>
      <c r="AB8" s="74"/>
      <c r="AC8" s="74"/>
      <c r="AD8" s="74">
        <f t="shared" si="2"/>
        <v>0.71875000000000011</v>
      </c>
      <c r="AE8" s="74"/>
      <c r="AF8" s="74"/>
      <c r="AG8" s="74">
        <f t="shared" si="2"/>
        <v>0.76041666666666707</v>
      </c>
      <c r="AH8" s="103">
        <f t="shared" si="2"/>
        <v>0.84375</v>
      </c>
    </row>
    <row r="9" spans="1:34" s="29" customFormat="1" ht="15" customHeight="1" x14ac:dyDescent="0.3">
      <c r="A9" s="124">
        <v>5</v>
      </c>
      <c r="B9" s="120" t="s">
        <v>21</v>
      </c>
      <c r="C9" s="78"/>
      <c r="D9" s="78"/>
      <c r="E9" s="74">
        <f>E8+"0:02"</f>
        <v>0.22013888888888888</v>
      </c>
      <c r="F9" s="74"/>
      <c r="G9" s="74"/>
      <c r="H9" s="74">
        <f t="shared" si="2"/>
        <v>0.26180555555555557</v>
      </c>
      <c r="I9" s="74"/>
      <c r="J9" s="74"/>
      <c r="K9" s="74">
        <f t="shared" si="2"/>
        <v>0.3034722222222222</v>
      </c>
      <c r="L9" s="74"/>
      <c r="M9" s="74">
        <f t="shared" si="2"/>
        <v>0.34513888888888899</v>
      </c>
      <c r="N9" s="74">
        <f t="shared" si="2"/>
        <v>0.38680555555555596</v>
      </c>
      <c r="O9" s="74">
        <f t="shared" si="2"/>
        <v>0.42847222222222198</v>
      </c>
      <c r="P9" s="74">
        <f t="shared" si="2"/>
        <v>0.47013888888888899</v>
      </c>
      <c r="Q9" s="74">
        <f t="shared" si="2"/>
        <v>0.51180555555555596</v>
      </c>
      <c r="R9" s="74">
        <f t="shared" si="2"/>
        <v>0.55347222222222203</v>
      </c>
      <c r="S9" s="74"/>
      <c r="T9" s="74"/>
      <c r="U9" s="74">
        <f t="shared" si="2"/>
        <v>0.59513888888888899</v>
      </c>
      <c r="V9" s="74"/>
      <c r="W9" s="74"/>
      <c r="X9" s="74">
        <f t="shared" si="2"/>
        <v>0.63680555555555596</v>
      </c>
      <c r="Y9" s="74"/>
      <c r="Z9" s="74"/>
      <c r="AA9" s="74">
        <f t="shared" si="2"/>
        <v>0.67847222222222203</v>
      </c>
      <c r="AB9" s="74"/>
      <c r="AC9" s="74"/>
      <c r="AD9" s="74">
        <f t="shared" si="2"/>
        <v>0.72013888888888899</v>
      </c>
      <c r="AE9" s="74"/>
      <c r="AF9" s="74"/>
      <c r="AG9" s="74">
        <f t="shared" si="2"/>
        <v>0.76180555555555596</v>
      </c>
      <c r="AH9" s="103">
        <f t="shared" si="2"/>
        <v>0.84513888888888888</v>
      </c>
    </row>
    <row r="10" spans="1:34" s="29" customFormat="1" ht="15" customHeight="1" x14ac:dyDescent="0.3">
      <c r="A10" s="124">
        <v>6</v>
      </c>
      <c r="B10" s="120" t="s">
        <v>22</v>
      </c>
      <c r="C10" s="78"/>
      <c r="D10" s="78"/>
      <c r="E10" s="74">
        <f>E9+"0:02"</f>
        <v>0.22152777777777777</v>
      </c>
      <c r="F10" s="74"/>
      <c r="G10" s="74"/>
      <c r="H10" s="74">
        <f t="shared" si="2"/>
        <v>0.26319444444444445</v>
      </c>
      <c r="I10" s="74"/>
      <c r="J10" s="74"/>
      <c r="K10" s="74">
        <f t="shared" si="2"/>
        <v>0.30486111111111108</v>
      </c>
      <c r="L10" s="74"/>
      <c r="M10" s="74">
        <f t="shared" si="2"/>
        <v>0.34652777777777788</v>
      </c>
      <c r="N10" s="74">
        <f t="shared" si="2"/>
        <v>0.38819444444444484</v>
      </c>
      <c r="O10" s="74">
        <f t="shared" si="2"/>
        <v>0.42986111111111086</v>
      </c>
      <c r="P10" s="74">
        <f t="shared" si="2"/>
        <v>0.47152777777777788</v>
      </c>
      <c r="Q10" s="74">
        <f t="shared" si="2"/>
        <v>0.51319444444444484</v>
      </c>
      <c r="R10" s="74">
        <f t="shared" si="2"/>
        <v>0.55486111111111092</v>
      </c>
      <c r="S10" s="74"/>
      <c r="T10" s="74"/>
      <c r="U10" s="74">
        <f t="shared" si="2"/>
        <v>0.59652777777777788</v>
      </c>
      <c r="V10" s="74"/>
      <c r="W10" s="74"/>
      <c r="X10" s="74">
        <f t="shared" si="2"/>
        <v>0.63819444444444484</v>
      </c>
      <c r="Y10" s="74"/>
      <c r="Z10" s="74"/>
      <c r="AA10" s="74">
        <f t="shared" si="2"/>
        <v>0.67986111111111092</v>
      </c>
      <c r="AB10" s="74"/>
      <c r="AC10" s="74"/>
      <c r="AD10" s="74">
        <f t="shared" si="2"/>
        <v>0.72152777777777788</v>
      </c>
      <c r="AE10" s="74"/>
      <c r="AF10" s="74"/>
      <c r="AG10" s="74">
        <f t="shared" si="2"/>
        <v>0.76319444444444484</v>
      </c>
      <c r="AH10" s="103">
        <f t="shared" si="2"/>
        <v>0.84652777777777777</v>
      </c>
    </row>
    <row r="11" spans="1:34" s="29" customFormat="1" ht="15" customHeight="1" x14ac:dyDescent="0.3">
      <c r="A11" s="124">
        <v>7</v>
      </c>
      <c r="B11" s="120" t="s">
        <v>23</v>
      </c>
      <c r="C11" s="78"/>
      <c r="D11" s="78"/>
      <c r="E11" s="74">
        <f>E10+"0:01"</f>
        <v>0.22222222222222221</v>
      </c>
      <c r="F11" s="74"/>
      <c r="G11" s="74"/>
      <c r="H11" s="74">
        <f t="shared" ref="H11:AH14" si="3">H10+"0:01"</f>
        <v>0.2638888888888889</v>
      </c>
      <c r="I11" s="74"/>
      <c r="J11" s="74"/>
      <c r="K11" s="74">
        <f t="shared" si="3"/>
        <v>0.30555555555555552</v>
      </c>
      <c r="L11" s="74"/>
      <c r="M11" s="74">
        <f t="shared" si="3"/>
        <v>0.34722222222222232</v>
      </c>
      <c r="N11" s="74">
        <f t="shared" si="3"/>
        <v>0.38888888888888928</v>
      </c>
      <c r="O11" s="74">
        <f t="shared" si="3"/>
        <v>0.4305555555555553</v>
      </c>
      <c r="P11" s="74">
        <f t="shared" si="3"/>
        <v>0.47222222222222232</v>
      </c>
      <c r="Q11" s="74">
        <f t="shared" si="3"/>
        <v>0.51388888888888928</v>
      </c>
      <c r="R11" s="74">
        <f t="shared" si="3"/>
        <v>0.55555555555555536</v>
      </c>
      <c r="S11" s="74"/>
      <c r="T11" s="74"/>
      <c r="U11" s="74">
        <f t="shared" si="3"/>
        <v>0.59722222222222232</v>
      </c>
      <c r="V11" s="74"/>
      <c r="W11" s="74"/>
      <c r="X11" s="74">
        <f t="shared" si="3"/>
        <v>0.63888888888888928</v>
      </c>
      <c r="Y11" s="74"/>
      <c r="Z11" s="74"/>
      <c r="AA11" s="74">
        <f t="shared" si="3"/>
        <v>0.68055555555555536</v>
      </c>
      <c r="AB11" s="74"/>
      <c r="AC11" s="74"/>
      <c r="AD11" s="74">
        <f t="shared" si="3"/>
        <v>0.72222222222222232</v>
      </c>
      <c r="AE11" s="74"/>
      <c r="AF11" s="74"/>
      <c r="AG11" s="74">
        <f t="shared" si="3"/>
        <v>0.76388888888888928</v>
      </c>
      <c r="AH11" s="103">
        <f t="shared" si="3"/>
        <v>0.84722222222222221</v>
      </c>
    </row>
    <row r="12" spans="1:34" s="29" customFormat="1" ht="15" customHeight="1" x14ac:dyDescent="0.3">
      <c r="A12" s="124">
        <v>8</v>
      </c>
      <c r="B12" s="120" t="s">
        <v>24</v>
      </c>
      <c r="C12" s="78"/>
      <c r="D12" s="78"/>
      <c r="E12" s="74">
        <f>E11+"0:01"</f>
        <v>0.22291666666666665</v>
      </c>
      <c r="F12" s="74"/>
      <c r="G12" s="74"/>
      <c r="H12" s="74">
        <f t="shared" si="3"/>
        <v>0.26458333333333334</v>
      </c>
      <c r="I12" s="74"/>
      <c r="J12" s="74"/>
      <c r="K12" s="74">
        <f t="shared" si="3"/>
        <v>0.30624999999999997</v>
      </c>
      <c r="L12" s="74"/>
      <c r="M12" s="74">
        <f t="shared" si="3"/>
        <v>0.34791666666666676</v>
      </c>
      <c r="N12" s="74">
        <f t="shared" si="3"/>
        <v>0.38958333333333373</v>
      </c>
      <c r="O12" s="74">
        <f t="shared" si="3"/>
        <v>0.43124999999999974</v>
      </c>
      <c r="P12" s="74">
        <f t="shared" si="3"/>
        <v>0.47291666666666676</v>
      </c>
      <c r="Q12" s="74">
        <f t="shared" si="3"/>
        <v>0.51458333333333373</v>
      </c>
      <c r="R12" s="74">
        <f t="shared" si="3"/>
        <v>0.5562499999999998</v>
      </c>
      <c r="S12" s="74"/>
      <c r="T12" s="74"/>
      <c r="U12" s="74">
        <f t="shared" si="3"/>
        <v>0.59791666666666676</v>
      </c>
      <c r="V12" s="74"/>
      <c r="W12" s="74"/>
      <c r="X12" s="74">
        <f t="shared" si="3"/>
        <v>0.63958333333333373</v>
      </c>
      <c r="Y12" s="74"/>
      <c r="Z12" s="74"/>
      <c r="AA12" s="74">
        <f t="shared" si="3"/>
        <v>0.6812499999999998</v>
      </c>
      <c r="AB12" s="74"/>
      <c r="AC12" s="74"/>
      <c r="AD12" s="74">
        <f t="shared" si="3"/>
        <v>0.72291666666666676</v>
      </c>
      <c r="AE12" s="74"/>
      <c r="AF12" s="74"/>
      <c r="AG12" s="74">
        <f t="shared" si="3"/>
        <v>0.76458333333333373</v>
      </c>
      <c r="AH12" s="103">
        <f t="shared" si="3"/>
        <v>0.84791666666666665</v>
      </c>
    </row>
    <row r="13" spans="1:34" s="29" customFormat="1" ht="15" customHeight="1" x14ac:dyDescent="0.3">
      <c r="A13" s="124">
        <v>9</v>
      </c>
      <c r="B13" s="120" t="s">
        <v>25</v>
      </c>
      <c r="C13" s="78"/>
      <c r="D13" s="78"/>
      <c r="E13" s="74">
        <f>E12+"0:01"</f>
        <v>0.22361111111111109</v>
      </c>
      <c r="F13" s="74"/>
      <c r="G13" s="74"/>
      <c r="H13" s="74">
        <f t="shared" si="3"/>
        <v>0.26527777777777778</v>
      </c>
      <c r="I13" s="74"/>
      <c r="J13" s="74"/>
      <c r="K13" s="74">
        <f t="shared" si="3"/>
        <v>0.30694444444444441</v>
      </c>
      <c r="L13" s="74"/>
      <c r="M13" s="74">
        <f t="shared" si="3"/>
        <v>0.3486111111111112</v>
      </c>
      <c r="N13" s="74">
        <f t="shared" si="3"/>
        <v>0.39027777777777817</v>
      </c>
      <c r="O13" s="74">
        <f t="shared" si="3"/>
        <v>0.43194444444444419</v>
      </c>
      <c r="P13" s="74">
        <f t="shared" si="3"/>
        <v>0.4736111111111112</v>
      </c>
      <c r="Q13" s="74">
        <f t="shared" si="3"/>
        <v>0.51527777777777817</v>
      </c>
      <c r="R13" s="74">
        <f t="shared" si="3"/>
        <v>0.55694444444444424</v>
      </c>
      <c r="S13" s="74"/>
      <c r="T13" s="74"/>
      <c r="U13" s="74">
        <f t="shared" si="3"/>
        <v>0.5986111111111112</v>
      </c>
      <c r="V13" s="74"/>
      <c r="W13" s="74"/>
      <c r="X13" s="74">
        <f t="shared" si="3"/>
        <v>0.64027777777777817</v>
      </c>
      <c r="Y13" s="74"/>
      <c r="Z13" s="74"/>
      <c r="AA13" s="74">
        <f t="shared" si="3"/>
        <v>0.68194444444444424</v>
      </c>
      <c r="AB13" s="74"/>
      <c r="AC13" s="74"/>
      <c r="AD13" s="74">
        <f t="shared" si="3"/>
        <v>0.7236111111111112</v>
      </c>
      <c r="AE13" s="74"/>
      <c r="AF13" s="74"/>
      <c r="AG13" s="74">
        <f t="shared" si="3"/>
        <v>0.76527777777777817</v>
      </c>
      <c r="AH13" s="103">
        <f t="shared" si="3"/>
        <v>0.84861111111111109</v>
      </c>
    </row>
    <row r="14" spans="1:34" s="29" customFormat="1" ht="15" customHeight="1" x14ac:dyDescent="0.3">
      <c r="A14" s="124">
        <v>10</v>
      </c>
      <c r="B14" s="120" t="s">
        <v>46</v>
      </c>
      <c r="C14" s="78"/>
      <c r="D14" s="78"/>
      <c r="E14" s="74">
        <f>E13+"0:01"</f>
        <v>0.22430555555555554</v>
      </c>
      <c r="F14" s="74"/>
      <c r="G14" s="74"/>
      <c r="H14" s="74">
        <f t="shared" si="3"/>
        <v>0.26597222222222222</v>
      </c>
      <c r="I14" s="74"/>
      <c r="J14" s="74"/>
      <c r="K14" s="74">
        <f t="shared" si="3"/>
        <v>0.30763888888888885</v>
      </c>
      <c r="L14" s="74"/>
      <c r="M14" s="74">
        <f t="shared" si="3"/>
        <v>0.34930555555555565</v>
      </c>
      <c r="N14" s="74">
        <f t="shared" si="3"/>
        <v>0.39097222222222261</v>
      </c>
      <c r="O14" s="74">
        <f t="shared" si="3"/>
        <v>0.43263888888888863</v>
      </c>
      <c r="P14" s="74">
        <f t="shared" si="3"/>
        <v>0.47430555555555565</v>
      </c>
      <c r="Q14" s="74">
        <f t="shared" si="3"/>
        <v>0.51597222222222261</v>
      </c>
      <c r="R14" s="74">
        <f t="shared" si="3"/>
        <v>0.55763888888888868</v>
      </c>
      <c r="S14" s="74"/>
      <c r="T14" s="74"/>
      <c r="U14" s="74">
        <f t="shared" si="3"/>
        <v>0.59930555555555565</v>
      </c>
      <c r="V14" s="74"/>
      <c r="W14" s="74"/>
      <c r="X14" s="74">
        <f t="shared" si="3"/>
        <v>0.64097222222222261</v>
      </c>
      <c r="Y14" s="74"/>
      <c r="Z14" s="74"/>
      <c r="AA14" s="74">
        <f t="shared" si="3"/>
        <v>0.68263888888888868</v>
      </c>
      <c r="AB14" s="74"/>
      <c r="AC14" s="74"/>
      <c r="AD14" s="74">
        <f t="shared" si="3"/>
        <v>0.72430555555555565</v>
      </c>
      <c r="AE14" s="74"/>
      <c r="AF14" s="74"/>
      <c r="AG14" s="74">
        <f t="shared" si="3"/>
        <v>0.76597222222222261</v>
      </c>
      <c r="AH14" s="103">
        <f t="shared" si="3"/>
        <v>0.84930555555555554</v>
      </c>
    </row>
    <row r="15" spans="1:34" s="29" customFormat="1" ht="15" customHeight="1" x14ac:dyDescent="0.3">
      <c r="A15" s="124">
        <v>11</v>
      </c>
      <c r="B15" s="120" t="s">
        <v>47</v>
      </c>
      <c r="C15" s="78"/>
      <c r="D15" s="74">
        <v>0.21875</v>
      </c>
      <c r="E15" s="74">
        <f t="shared" ref="D15:G18" si="4">E14+"0:02"</f>
        <v>0.22569444444444442</v>
      </c>
      <c r="F15" s="74">
        <v>0.23958333333333334</v>
      </c>
      <c r="G15" s="74">
        <v>0.26041666666666669</v>
      </c>
      <c r="H15" s="74">
        <f t="shared" ref="H15:AH15" si="5">H14+"0:02"</f>
        <v>0.2673611111111111</v>
      </c>
      <c r="I15" s="74">
        <v>0.28125</v>
      </c>
      <c r="J15" s="74">
        <v>0.30208333333333331</v>
      </c>
      <c r="K15" s="74">
        <f t="shared" si="5"/>
        <v>0.30902777777777773</v>
      </c>
      <c r="L15" s="74">
        <v>0.32291666666666669</v>
      </c>
      <c r="M15" s="74">
        <f t="shared" si="5"/>
        <v>0.35069444444444453</v>
      </c>
      <c r="N15" s="74">
        <f t="shared" si="5"/>
        <v>0.39236111111111149</v>
      </c>
      <c r="O15" s="74">
        <f t="shared" si="5"/>
        <v>0.43402777777777751</v>
      </c>
      <c r="P15" s="74">
        <f t="shared" si="5"/>
        <v>0.47569444444444453</v>
      </c>
      <c r="Q15" s="74">
        <f t="shared" si="5"/>
        <v>0.51736111111111149</v>
      </c>
      <c r="R15" s="74">
        <f t="shared" si="5"/>
        <v>0.55902777777777757</v>
      </c>
      <c r="S15" s="74"/>
      <c r="T15" s="74">
        <v>0.59375</v>
      </c>
      <c r="U15" s="74">
        <f t="shared" si="5"/>
        <v>0.60069444444444453</v>
      </c>
      <c r="V15" s="74">
        <v>0.61458333333333337</v>
      </c>
      <c r="W15" s="74">
        <v>0.63541666666666663</v>
      </c>
      <c r="X15" s="74">
        <f t="shared" si="5"/>
        <v>0.64236111111111149</v>
      </c>
      <c r="Y15" s="74">
        <v>0.65625</v>
      </c>
      <c r="Z15" s="74">
        <v>0.67708333333333337</v>
      </c>
      <c r="AA15" s="74">
        <f t="shared" si="5"/>
        <v>0.68402777777777757</v>
      </c>
      <c r="AB15" s="74">
        <v>0.69791666666666663</v>
      </c>
      <c r="AC15" s="74">
        <v>0.71875</v>
      </c>
      <c r="AD15" s="74">
        <f t="shared" si="5"/>
        <v>0.72569444444444453</v>
      </c>
      <c r="AE15" s="74">
        <v>0.73958333333333337</v>
      </c>
      <c r="AF15" s="74"/>
      <c r="AG15" s="74">
        <f t="shared" si="5"/>
        <v>0.76736111111111149</v>
      </c>
      <c r="AH15" s="103">
        <f t="shared" si="5"/>
        <v>0.85069444444444442</v>
      </c>
    </row>
    <row r="16" spans="1:34" s="29" customFormat="1" ht="15" customHeight="1" x14ac:dyDescent="0.3">
      <c r="A16" s="124">
        <v>12</v>
      </c>
      <c r="B16" s="120" t="s">
        <v>61</v>
      </c>
      <c r="C16" s="78"/>
      <c r="D16" s="74">
        <f>D15+"0:01"</f>
        <v>0.21944444444444444</v>
      </c>
      <c r="E16" s="74">
        <f>E15+"0:01"</f>
        <v>0.22638888888888886</v>
      </c>
      <c r="F16" s="74">
        <f t="shared" ref="F16:G16" si="6">F15+"0:01"</f>
        <v>0.24027777777777778</v>
      </c>
      <c r="G16" s="74">
        <f t="shared" si="6"/>
        <v>0.26111111111111113</v>
      </c>
      <c r="H16" s="74">
        <f t="shared" ref="H16:AH17" si="7">H15+"0:01"</f>
        <v>0.26805555555555555</v>
      </c>
      <c r="I16" s="74">
        <f t="shared" ref="I16:J16" si="8">I15+"0:01"</f>
        <v>0.28194444444444444</v>
      </c>
      <c r="J16" s="74">
        <f t="shared" si="8"/>
        <v>0.30277777777777776</v>
      </c>
      <c r="K16" s="74">
        <f t="shared" si="7"/>
        <v>0.30972222222222218</v>
      </c>
      <c r="L16" s="74">
        <f t="shared" ref="L16" si="9">L15+"0:01"</f>
        <v>0.32361111111111113</v>
      </c>
      <c r="M16" s="74">
        <f t="shared" si="7"/>
        <v>0.35138888888888897</v>
      </c>
      <c r="N16" s="74">
        <f t="shared" si="7"/>
        <v>0.39305555555555594</v>
      </c>
      <c r="O16" s="74">
        <f t="shared" si="7"/>
        <v>0.43472222222222195</v>
      </c>
      <c r="P16" s="74">
        <f t="shared" si="7"/>
        <v>0.47638888888888897</v>
      </c>
      <c r="Q16" s="74">
        <f t="shared" si="7"/>
        <v>0.51805555555555594</v>
      </c>
      <c r="R16" s="74">
        <f t="shared" si="7"/>
        <v>0.55972222222222201</v>
      </c>
      <c r="S16" s="74"/>
      <c r="T16" s="74">
        <f t="shared" ref="T16:T17" si="10">T15+"0:01"</f>
        <v>0.59444444444444444</v>
      </c>
      <c r="U16" s="74">
        <f t="shared" si="7"/>
        <v>0.60138888888888897</v>
      </c>
      <c r="V16" s="74">
        <f t="shared" si="7"/>
        <v>0.61527777777777781</v>
      </c>
      <c r="W16" s="74">
        <f t="shared" si="7"/>
        <v>0.63611111111111107</v>
      </c>
      <c r="X16" s="74">
        <f t="shared" si="7"/>
        <v>0.64305555555555594</v>
      </c>
      <c r="Y16" s="74">
        <f t="shared" ref="Y16:Z16" si="11">Y15+"0:01"</f>
        <v>0.65694444444444444</v>
      </c>
      <c r="Z16" s="74">
        <f t="shared" si="11"/>
        <v>0.67777777777777781</v>
      </c>
      <c r="AA16" s="74">
        <f t="shared" si="7"/>
        <v>0.68472222222222201</v>
      </c>
      <c r="AB16" s="74">
        <f t="shared" si="7"/>
        <v>0.69861111111111107</v>
      </c>
      <c r="AC16" s="74">
        <f t="shared" si="7"/>
        <v>0.71944444444444444</v>
      </c>
      <c r="AD16" s="74">
        <f t="shared" si="7"/>
        <v>0.72638888888888897</v>
      </c>
      <c r="AE16" s="74">
        <f t="shared" ref="AE16" si="12">AE15+"0:01"</f>
        <v>0.74027777777777781</v>
      </c>
      <c r="AF16" s="74"/>
      <c r="AG16" s="74">
        <f t="shared" si="7"/>
        <v>0.76805555555555594</v>
      </c>
      <c r="AH16" s="103">
        <f t="shared" si="7"/>
        <v>0.85138888888888886</v>
      </c>
    </row>
    <row r="17" spans="1:35" s="29" customFormat="1" ht="15" customHeight="1" x14ac:dyDescent="0.3">
      <c r="A17" s="124">
        <v>13</v>
      </c>
      <c r="B17" s="120" t="s">
        <v>62</v>
      </c>
      <c r="C17" s="78"/>
      <c r="D17" s="74">
        <f>D16+"0:01"</f>
        <v>0.22013888888888888</v>
      </c>
      <c r="E17" s="74">
        <f>E16+"0:01"</f>
        <v>0.2270833333333333</v>
      </c>
      <c r="F17" s="74">
        <f t="shared" ref="F17:G17" si="13">F16+"0:01"</f>
        <v>0.24097222222222223</v>
      </c>
      <c r="G17" s="74">
        <f t="shared" si="13"/>
        <v>0.26180555555555557</v>
      </c>
      <c r="H17" s="74">
        <f t="shared" si="7"/>
        <v>0.26874999999999999</v>
      </c>
      <c r="I17" s="74">
        <f t="shared" ref="I17:J17" si="14">I16+"0:01"</f>
        <v>0.28263888888888888</v>
      </c>
      <c r="J17" s="74">
        <f t="shared" si="14"/>
        <v>0.3034722222222222</v>
      </c>
      <c r="K17" s="74">
        <f t="shared" si="7"/>
        <v>0.31041666666666662</v>
      </c>
      <c r="L17" s="74">
        <f t="shared" ref="L17" si="15">L16+"0:01"</f>
        <v>0.32430555555555557</v>
      </c>
      <c r="M17" s="74">
        <f t="shared" si="7"/>
        <v>0.35208333333333341</v>
      </c>
      <c r="N17" s="74">
        <f t="shared" si="7"/>
        <v>0.39375000000000038</v>
      </c>
      <c r="O17" s="74">
        <f t="shared" si="7"/>
        <v>0.4354166666666664</v>
      </c>
      <c r="P17" s="74">
        <f t="shared" si="7"/>
        <v>0.47708333333333341</v>
      </c>
      <c r="Q17" s="74">
        <f t="shared" si="7"/>
        <v>0.51875000000000038</v>
      </c>
      <c r="R17" s="74">
        <f t="shared" si="7"/>
        <v>0.56041666666666645</v>
      </c>
      <c r="S17" s="74"/>
      <c r="T17" s="74">
        <f t="shared" si="10"/>
        <v>0.59513888888888888</v>
      </c>
      <c r="U17" s="74">
        <f t="shared" si="7"/>
        <v>0.60208333333333341</v>
      </c>
      <c r="V17" s="74">
        <f t="shared" si="7"/>
        <v>0.61597222222222225</v>
      </c>
      <c r="W17" s="74">
        <f t="shared" si="7"/>
        <v>0.63680555555555551</v>
      </c>
      <c r="X17" s="74">
        <f t="shared" si="7"/>
        <v>0.64375000000000038</v>
      </c>
      <c r="Y17" s="74">
        <f t="shared" ref="Y17:Z17" si="16">Y16+"0:01"</f>
        <v>0.65763888888888888</v>
      </c>
      <c r="Z17" s="74">
        <f t="shared" si="16"/>
        <v>0.67847222222222225</v>
      </c>
      <c r="AA17" s="74">
        <f t="shared" si="7"/>
        <v>0.68541666666666645</v>
      </c>
      <c r="AB17" s="74">
        <f t="shared" si="7"/>
        <v>0.69930555555555551</v>
      </c>
      <c r="AC17" s="74">
        <f t="shared" si="7"/>
        <v>0.72013888888888888</v>
      </c>
      <c r="AD17" s="74">
        <f t="shared" si="7"/>
        <v>0.72708333333333341</v>
      </c>
      <c r="AE17" s="74">
        <f t="shared" ref="AE17" si="17">AE16+"0:01"</f>
        <v>0.74097222222222225</v>
      </c>
      <c r="AF17" s="74"/>
      <c r="AG17" s="74">
        <f t="shared" si="7"/>
        <v>0.76875000000000038</v>
      </c>
      <c r="AH17" s="103">
        <f t="shared" si="7"/>
        <v>0.8520833333333333</v>
      </c>
    </row>
    <row r="18" spans="1:35" s="29" customFormat="1" ht="15" customHeight="1" thickBot="1" x14ac:dyDescent="0.35">
      <c r="A18" s="124">
        <v>14</v>
      </c>
      <c r="B18" s="120" t="s">
        <v>63</v>
      </c>
      <c r="C18" s="78" t="s">
        <v>84</v>
      </c>
      <c r="D18" s="74">
        <f t="shared" si="4"/>
        <v>0.22152777777777777</v>
      </c>
      <c r="E18" s="74">
        <f t="shared" si="4"/>
        <v>0.22847222222222219</v>
      </c>
      <c r="F18" s="74">
        <f t="shared" si="4"/>
        <v>0.24236111111111111</v>
      </c>
      <c r="G18" s="74">
        <f t="shared" si="4"/>
        <v>0.26319444444444445</v>
      </c>
      <c r="H18" s="74">
        <f t="shared" ref="H18:AH18" si="18">H17+"0:02"</f>
        <v>0.27013888888888887</v>
      </c>
      <c r="I18" s="74">
        <f t="shared" ref="I18:J18" si="19">I17+"0:02"</f>
        <v>0.28402777777777777</v>
      </c>
      <c r="J18" s="74">
        <f t="shared" si="19"/>
        <v>0.30486111111111108</v>
      </c>
      <c r="K18" s="74">
        <f t="shared" si="18"/>
        <v>0.3118055555555555</v>
      </c>
      <c r="L18" s="74">
        <f t="shared" ref="L18" si="20">L17+"0:02"</f>
        <v>0.32569444444444445</v>
      </c>
      <c r="M18" s="74">
        <f t="shared" si="18"/>
        <v>0.3534722222222223</v>
      </c>
      <c r="N18" s="74">
        <f t="shared" si="18"/>
        <v>0.39513888888888926</v>
      </c>
      <c r="O18" s="74">
        <f t="shared" si="18"/>
        <v>0.43680555555555528</v>
      </c>
      <c r="P18" s="74">
        <f t="shared" si="18"/>
        <v>0.4784722222222223</v>
      </c>
      <c r="Q18" s="74">
        <f t="shared" si="18"/>
        <v>0.52013888888888926</v>
      </c>
      <c r="R18" s="74">
        <f t="shared" si="18"/>
        <v>0.56180555555555534</v>
      </c>
      <c r="S18" s="74"/>
      <c r="T18" s="74">
        <f t="shared" ref="T18" si="21">T17+"0:02"</f>
        <v>0.59652777777777777</v>
      </c>
      <c r="U18" s="74">
        <f t="shared" si="18"/>
        <v>0.6034722222222223</v>
      </c>
      <c r="V18" s="74">
        <f t="shared" ref="V18:W18" si="22">V17+"0:01"</f>
        <v>0.6166666666666667</v>
      </c>
      <c r="W18" s="74">
        <f t="shared" si="22"/>
        <v>0.63749999999999996</v>
      </c>
      <c r="X18" s="74">
        <f t="shared" si="18"/>
        <v>0.64513888888888926</v>
      </c>
      <c r="Y18" s="74">
        <f t="shared" ref="Y18:Z18" si="23">Y17+"0:01"</f>
        <v>0.65833333333333333</v>
      </c>
      <c r="Z18" s="74">
        <f t="shared" si="23"/>
        <v>0.6791666666666667</v>
      </c>
      <c r="AA18" s="74">
        <f t="shared" si="18"/>
        <v>0.68680555555555534</v>
      </c>
      <c r="AB18" s="74">
        <f t="shared" ref="AB18:AC18" si="24">AB17+"0:01"</f>
        <v>0.7</v>
      </c>
      <c r="AC18" s="74">
        <f t="shared" si="24"/>
        <v>0.72083333333333333</v>
      </c>
      <c r="AD18" s="74">
        <f t="shared" si="18"/>
        <v>0.7284722222222223</v>
      </c>
      <c r="AE18" s="74">
        <f t="shared" ref="AE18" si="25">AE17+"0:01"</f>
        <v>0.7416666666666667</v>
      </c>
      <c r="AF18" s="74"/>
      <c r="AG18" s="74">
        <f t="shared" si="18"/>
        <v>0.77013888888888926</v>
      </c>
      <c r="AH18" s="103">
        <f t="shared" si="18"/>
        <v>0.85347222222222219</v>
      </c>
    </row>
    <row r="19" spans="1:35" s="29" customFormat="1" ht="13.8" thickBot="1" x14ac:dyDescent="0.35">
      <c r="A19" s="129"/>
      <c r="B19" s="130" t="s">
        <v>2</v>
      </c>
      <c r="C19" s="131"/>
      <c r="D19" s="131">
        <v>1.8</v>
      </c>
      <c r="E19" s="132">
        <v>6.9</v>
      </c>
      <c r="F19" s="132">
        <v>1.8</v>
      </c>
      <c r="G19" s="132">
        <v>1.8</v>
      </c>
      <c r="H19" s="132">
        <v>6.9</v>
      </c>
      <c r="I19" s="132">
        <v>1.8</v>
      </c>
      <c r="J19" s="132">
        <v>1.8</v>
      </c>
      <c r="K19" s="132">
        <v>6.9</v>
      </c>
      <c r="L19" s="132">
        <v>1.8</v>
      </c>
      <c r="M19" s="132">
        <v>6.9</v>
      </c>
      <c r="N19" s="132">
        <v>6.9</v>
      </c>
      <c r="O19" s="132">
        <v>6.9</v>
      </c>
      <c r="P19" s="132">
        <v>6.9</v>
      </c>
      <c r="Q19" s="132">
        <v>6.9</v>
      </c>
      <c r="R19" s="132">
        <v>6.9</v>
      </c>
      <c r="S19" s="132"/>
      <c r="T19" s="132">
        <v>1.8</v>
      </c>
      <c r="U19" s="132">
        <v>6.9</v>
      </c>
      <c r="V19" s="133">
        <v>1.8</v>
      </c>
      <c r="W19" s="133">
        <v>1.8</v>
      </c>
      <c r="X19" s="132">
        <v>6.9</v>
      </c>
      <c r="Y19" s="132">
        <v>1.8</v>
      </c>
      <c r="Z19" s="132">
        <v>1.8</v>
      </c>
      <c r="AA19" s="132">
        <v>6.9</v>
      </c>
      <c r="AB19" s="132">
        <v>1.8</v>
      </c>
      <c r="AC19" s="132">
        <v>1.8</v>
      </c>
      <c r="AD19" s="132">
        <v>6.9</v>
      </c>
      <c r="AE19" s="132">
        <v>1.8</v>
      </c>
      <c r="AF19" s="132"/>
      <c r="AG19" s="132">
        <v>6.9</v>
      </c>
      <c r="AH19" s="134">
        <v>6.9</v>
      </c>
      <c r="AI19" s="127">
        <f>SUM(D19:AH19)</f>
        <v>128.70000000000002</v>
      </c>
    </row>
    <row r="20" spans="1:35" s="29" customFormat="1" ht="56.25" customHeight="1" x14ac:dyDescent="0.3"/>
    <row r="21" spans="1:35" s="18" customFormat="1" ht="15" customHeight="1" x14ac:dyDescent="0.3">
      <c r="A21" s="6" t="s">
        <v>8</v>
      </c>
      <c r="B21" s="8"/>
      <c r="C21" s="6" t="s">
        <v>86</v>
      </c>
      <c r="D21" s="38"/>
    </row>
    <row r="22" spans="1:35" s="18" customFormat="1" ht="15" customHeight="1" x14ac:dyDescent="0.3">
      <c r="A22" s="6"/>
      <c r="B22" s="8"/>
      <c r="C22" s="6"/>
      <c r="D22" s="38"/>
    </row>
    <row r="23" spans="1:35" s="18" customFormat="1" ht="15" customHeight="1" thickBot="1" x14ac:dyDescent="0.35">
      <c r="A23" s="8"/>
      <c r="B23" s="66" t="s">
        <v>15</v>
      </c>
      <c r="C23" s="18" t="s">
        <v>5</v>
      </c>
    </row>
    <row r="24" spans="1:35" s="18" customFormat="1" ht="19.5" customHeight="1" x14ac:dyDescent="0.3">
      <c r="A24" s="135" t="s">
        <v>1</v>
      </c>
      <c r="B24" s="110"/>
      <c r="C24" s="136"/>
      <c r="D24" s="36">
        <v>2</v>
      </c>
      <c r="E24" s="36">
        <f>D24+2</f>
        <v>4</v>
      </c>
      <c r="F24" s="36">
        <f t="shared" ref="F24:AH24" si="26">E24+2</f>
        <v>6</v>
      </c>
      <c r="G24" s="36">
        <f t="shared" si="26"/>
        <v>8</v>
      </c>
      <c r="H24" s="36">
        <f t="shared" si="26"/>
        <v>10</v>
      </c>
      <c r="I24" s="36">
        <f t="shared" si="26"/>
        <v>12</v>
      </c>
      <c r="J24" s="36">
        <f t="shared" si="26"/>
        <v>14</v>
      </c>
      <c r="K24" s="36">
        <f t="shared" si="26"/>
        <v>16</v>
      </c>
      <c r="L24" s="36">
        <f t="shared" si="26"/>
        <v>18</v>
      </c>
      <c r="M24" s="36">
        <f t="shared" si="26"/>
        <v>20</v>
      </c>
      <c r="N24" s="36">
        <f t="shared" si="26"/>
        <v>22</v>
      </c>
      <c r="O24" s="36">
        <f t="shared" si="26"/>
        <v>24</v>
      </c>
      <c r="P24" s="36">
        <f t="shared" si="26"/>
        <v>26</v>
      </c>
      <c r="Q24" s="36">
        <f t="shared" si="26"/>
        <v>28</v>
      </c>
      <c r="R24" s="36">
        <f t="shared" si="26"/>
        <v>30</v>
      </c>
      <c r="S24" s="36">
        <f t="shared" si="26"/>
        <v>32</v>
      </c>
      <c r="T24" s="36">
        <f t="shared" si="26"/>
        <v>34</v>
      </c>
      <c r="U24" s="36">
        <f t="shared" si="26"/>
        <v>36</v>
      </c>
      <c r="V24" s="36">
        <f t="shared" si="26"/>
        <v>38</v>
      </c>
      <c r="W24" s="36">
        <f t="shared" si="26"/>
        <v>40</v>
      </c>
      <c r="X24" s="36">
        <f t="shared" si="26"/>
        <v>42</v>
      </c>
      <c r="Y24" s="36">
        <f t="shared" si="26"/>
        <v>44</v>
      </c>
      <c r="Z24" s="36">
        <f t="shared" si="26"/>
        <v>46</v>
      </c>
      <c r="AA24" s="36">
        <f t="shared" si="26"/>
        <v>48</v>
      </c>
      <c r="AB24" s="36">
        <f t="shared" si="26"/>
        <v>50</v>
      </c>
      <c r="AC24" s="36">
        <f t="shared" si="26"/>
        <v>52</v>
      </c>
      <c r="AD24" s="36">
        <f t="shared" si="26"/>
        <v>54</v>
      </c>
      <c r="AE24" s="36">
        <f t="shared" si="26"/>
        <v>56</v>
      </c>
      <c r="AF24" s="36">
        <f t="shared" si="26"/>
        <v>58</v>
      </c>
      <c r="AG24" s="36">
        <f t="shared" si="26"/>
        <v>60</v>
      </c>
      <c r="AH24" s="137">
        <f t="shared" si="26"/>
        <v>62</v>
      </c>
    </row>
    <row r="25" spans="1:35" s="18" customFormat="1" ht="15" customHeight="1" x14ac:dyDescent="0.3">
      <c r="A25" s="114">
        <v>15</v>
      </c>
      <c r="B25" s="95" t="s">
        <v>63</v>
      </c>
      <c r="C25" s="60" t="s">
        <v>83</v>
      </c>
      <c r="D25" s="73">
        <v>0.21597222222222223</v>
      </c>
      <c r="E25" s="81">
        <v>0.22569444444444445</v>
      </c>
      <c r="F25" s="81">
        <v>0.23680555555555557</v>
      </c>
      <c r="G25" s="81">
        <v>0.25763888888888892</v>
      </c>
      <c r="H25" s="81">
        <v>0.2673611111111111</v>
      </c>
      <c r="I25" s="81">
        <v>0.27847222222222223</v>
      </c>
      <c r="J25" s="81">
        <v>0.29930555555555555</v>
      </c>
      <c r="K25" s="81">
        <v>0.30902777777777779</v>
      </c>
      <c r="L25" s="81">
        <v>0.32013888888888892</v>
      </c>
      <c r="M25" s="81">
        <v>0.3298611111111111</v>
      </c>
      <c r="N25" s="81">
        <v>0.35347222222222219</v>
      </c>
      <c r="O25" s="74">
        <v>0.39513888888888887</v>
      </c>
      <c r="P25" s="74">
        <v>0.436805555555556</v>
      </c>
      <c r="Q25" s="74">
        <v>0.47847222222222202</v>
      </c>
      <c r="R25" s="74">
        <v>0.52013888888888904</v>
      </c>
      <c r="S25" s="74">
        <v>0.561805555555556</v>
      </c>
      <c r="T25" s="74">
        <v>0.59097222222222223</v>
      </c>
      <c r="U25" s="74">
        <v>0.60069444444444442</v>
      </c>
      <c r="V25" s="74">
        <v>0.6118055555555556</v>
      </c>
      <c r="W25" s="74">
        <v>0.63263888888888886</v>
      </c>
      <c r="X25" s="74">
        <v>0.64236111111111105</v>
      </c>
      <c r="Y25" s="74">
        <v>0.65347222222222223</v>
      </c>
      <c r="Z25" s="74">
        <v>0.6743055555555556</v>
      </c>
      <c r="AA25" s="74">
        <v>0.68402777777777779</v>
      </c>
      <c r="AB25" s="74">
        <v>0.69513888888888886</v>
      </c>
      <c r="AC25" s="74">
        <v>0.71597222222222223</v>
      </c>
      <c r="AD25" s="74">
        <v>0.72569444444444453</v>
      </c>
      <c r="AE25" s="74">
        <v>0.7368055555555556</v>
      </c>
      <c r="AF25" s="74">
        <v>0.74652777777777779</v>
      </c>
      <c r="AG25" s="74">
        <v>0.77013888888888904</v>
      </c>
      <c r="AH25" s="138">
        <v>0.8534722222222223</v>
      </c>
    </row>
    <row r="26" spans="1:35" s="18" customFormat="1" ht="15" customHeight="1" x14ac:dyDescent="0.3">
      <c r="A26" s="114">
        <v>14</v>
      </c>
      <c r="B26" s="95" t="s">
        <v>62</v>
      </c>
      <c r="C26" s="60"/>
      <c r="D26" s="74">
        <f t="shared" ref="D26:E29" si="27">D25+"0:01"</f>
        <v>0.21666666666666667</v>
      </c>
      <c r="E26" s="74">
        <f t="shared" si="27"/>
        <v>0.22638888888888889</v>
      </c>
      <c r="F26" s="74">
        <f t="shared" ref="F26:G26" si="28">F25+"0:01"</f>
        <v>0.23750000000000002</v>
      </c>
      <c r="G26" s="74">
        <f t="shared" si="28"/>
        <v>0.25833333333333336</v>
      </c>
      <c r="H26" s="74">
        <f t="shared" ref="H26:AH27" si="29">H25+"0:01"</f>
        <v>0.26805555555555555</v>
      </c>
      <c r="I26" s="74">
        <f t="shared" si="29"/>
        <v>0.27916666666666667</v>
      </c>
      <c r="J26" s="74">
        <f t="shared" ref="J26:L26" si="30">J25+"0:01"</f>
        <v>0.3</v>
      </c>
      <c r="K26" s="74">
        <f t="shared" si="29"/>
        <v>0.30972222222222223</v>
      </c>
      <c r="L26" s="74">
        <f t="shared" si="30"/>
        <v>0.32083333333333336</v>
      </c>
      <c r="M26" s="74">
        <f t="shared" ref="M26" si="31">M25+"0:01"</f>
        <v>0.33055555555555555</v>
      </c>
      <c r="N26" s="74">
        <f t="shared" si="29"/>
        <v>0.35416666666666663</v>
      </c>
      <c r="O26" s="74">
        <f t="shared" si="29"/>
        <v>0.39583333333333331</v>
      </c>
      <c r="P26" s="74">
        <f t="shared" si="29"/>
        <v>0.43750000000000044</v>
      </c>
      <c r="Q26" s="74">
        <f t="shared" si="29"/>
        <v>0.47916666666666646</v>
      </c>
      <c r="R26" s="74">
        <f t="shared" si="29"/>
        <v>0.52083333333333348</v>
      </c>
      <c r="S26" s="74">
        <f t="shared" si="29"/>
        <v>0.56250000000000044</v>
      </c>
      <c r="T26" s="74">
        <f t="shared" si="29"/>
        <v>0.59166666666666667</v>
      </c>
      <c r="U26" s="74">
        <f t="shared" si="29"/>
        <v>0.60138888888888886</v>
      </c>
      <c r="V26" s="74">
        <f t="shared" ref="V26:W26" si="32">V25+"0:01"</f>
        <v>0.61250000000000004</v>
      </c>
      <c r="W26" s="74">
        <f t="shared" si="32"/>
        <v>0.6333333333333333</v>
      </c>
      <c r="X26" s="74">
        <f t="shared" si="29"/>
        <v>0.64305555555555549</v>
      </c>
      <c r="Y26" s="74">
        <f t="shared" si="29"/>
        <v>0.65416666666666667</v>
      </c>
      <c r="Z26" s="74">
        <f t="shared" si="29"/>
        <v>0.67500000000000004</v>
      </c>
      <c r="AA26" s="74">
        <f t="shared" si="29"/>
        <v>0.68472222222222223</v>
      </c>
      <c r="AB26" s="74">
        <f t="shared" ref="AB26:AC26" si="33">AB25+"0:01"</f>
        <v>0.6958333333333333</v>
      </c>
      <c r="AC26" s="74">
        <f t="shared" si="33"/>
        <v>0.71666666666666667</v>
      </c>
      <c r="AD26" s="74">
        <f t="shared" si="29"/>
        <v>0.72638888888888897</v>
      </c>
      <c r="AE26" s="74">
        <f t="shared" si="29"/>
        <v>0.73750000000000004</v>
      </c>
      <c r="AF26" s="74">
        <f t="shared" ref="AF26" si="34">AF25+"0:01"</f>
        <v>0.74722222222222223</v>
      </c>
      <c r="AG26" s="74">
        <f t="shared" si="29"/>
        <v>0.77083333333333348</v>
      </c>
      <c r="AH26" s="103">
        <f t="shared" si="29"/>
        <v>0.85416666666666674</v>
      </c>
    </row>
    <row r="27" spans="1:35" s="18" customFormat="1" ht="15" customHeight="1" x14ac:dyDescent="0.3">
      <c r="A27" s="114">
        <v>13</v>
      </c>
      <c r="B27" s="95" t="s">
        <v>61</v>
      </c>
      <c r="C27" s="60"/>
      <c r="D27" s="74">
        <f t="shared" si="27"/>
        <v>0.21736111111111112</v>
      </c>
      <c r="E27" s="74">
        <f t="shared" si="27"/>
        <v>0.22708333333333333</v>
      </c>
      <c r="F27" s="74">
        <f t="shared" ref="F27:G27" si="35">F26+"0:01"</f>
        <v>0.23819444444444446</v>
      </c>
      <c r="G27" s="74">
        <f t="shared" si="35"/>
        <v>0.2590277777777778</v>
      </c>
      <c r="H27" s="74">
        <f t="shared" ref="H27:AH29" si="36">H26+"0:01"</f>
        <v>0.26874999999999999</v>
      </c>
      <c r="I27" s="74">
        <f t="shared" si="36"/>
        <v>0.27986111111111112</v>
      </c>
      <c r="J27" s="74">
        <f t="shared" ref="J27:L27" si="37">J26+"0:01"</f>
        <v>0.30069444444444443</v>
      </c>
      <c r="K27" s="74">
        <f t="shared" si="36"/>
        <v>0.31041666666666667</v>
      </c>
      <c r="L27" s="74">
        <f t="shared" si="37"/>
        <v>0.3215277777777778</v>
      </c>
      <c r="M27" s="74">
        <f t="shared" ref="M27" si="38">M26+"0:01"</f>
        <v>0.33124999999999999</v>
      </c>
      <c r="N27" s="74">
        <f t="shared" si="36"/>
        <v>0.35486111111111107</v>
      </c>
      <c r="O27" s="74">
        <f t="shared" si="36"/>
        <v>0.39652777777777776</v>
      </c>
      <c r="P27" s="74">
        <f t="shared" si="36"/>
        <v>0.43819444444444489</v>
      </c>
      <c r="Q27" s="74">
        <f t="shared" si="36"/>
        <v>0.47986111111111091</v>
      </c>
      <c r="R27" s="74">
        <f t="shared" si="36"/>
        <v>0.52152777777777792</v>
      </c>
      <c r="S27" s="74">
        <f t="shared" si="36"/>
        <v>0.56319444444444489</v>
      </c>
      <c r="T27" s="74">
        <f t="shared" si="29"/>
        <v>0.59236111111111112</v>
      </c>
      <c r="U27" s="74">
        <f t="shared" si="36"/>
        <v>0.6020833333333333</v>
      </c>
      <c r="V27" s="74">
        <f t="shared" si="36"/>
        <v>0.61319444444444449</v>
      </c>
      <c r="W27" s="74">
        <f t="shared" si="36"/>
        <v>0.63402777777777775</v>
      </c>
      <c r="X27" s="74">
        <f t="shared" si="36"/>
        <v>0.64374999999999993</v>
      </c>
      <c r="Y27" s="74">
        <f t="shared" ref="Y27:Z27" si="39">Y26+"0:01"</f>
        <v>0.65486111111111112</v>
      </c>
      <c r="Z27" s="74">
        <f t="shared" si="39"/>
        <v>0.67569444444444449</v>
      </c>
      <c r="AA27" s="74">
        <f t="shared" si="36"/>
        <v>0.68541666666666667</v>
      </c>
      <c r="AB27" s="74">
        <f t="shared" si="36"/>
        <v>0.69652777777777775</v>
      </c>
      <c r="AC27" s="74">
        <f t="shared" si="36"/>
        <v>0.71736111111111112</v>
      </c>
      <c r="AD27" s="74">
        <f t="shared" si="36"/>
        <v>0.72708333333333341</v>
      </c>
      <c r="AE27" s="74">
        <f t="shared" ref="AE27" si="40">AE26+"0:01"</f>
        <v>0.73819444444444449</v>
      </c>
      <c r="AF27" s="74">
        <f t="shared" ref="AF27" si="41">AF26+"0:01"</f>
        <v>0.74791666666666667</v>
      </c>
      <c r="AG27" s="74">
        <f t="shared" si="36"/>
        <v>0.77152777777777792</v>
      </c>
      <c r="AH27" s="103">
        <f t="shared" si="36"/>
        <v>0.85486111111111118</v>
      </c>
    </row>
    <row r="28" spans="1:35" s="18" customFormat="1" ht="15" customHeight="1" x14ac:dyDescent="0.3">
      <c r="A28" s="114">
        <v>12</v>
      </c>
      <c r="B28" s="95" t="s">
        <v>26</v>
      </c>
      <c r="C28" s="60" t="s">
        <v>84</v>
      </c>
      <c r="D28" s="74">
        <f t="shared" si="27"/>
        <v>0.21805555555555556</v>
      </c>
      <c r="E28" s="74"/>
      <c r="F28" s="74">
        <f t="shared" ref="F28:G28" si="42">F27+"0:01"</f>
        <v>0.2388888888888889</v>
      </c>
      <c r="G28" s="74">
        <f t="shared" si="42"/>
        <v>0.25972222222222224</v>
      </c>
      <c r="H28" s="74"/>
      <c r="I28" s="74">
        <f t="shared" ref="I28:J28" si="43">I27+"0:01"</f>
        <v>0.28055555555555556</v>
      </c>
      <c r="J28" s="74">
        <f t="shared" si="43"/>
        <v>0.30138888888888887</v>
      </c>
      <c r="K28" s="74"/>
      <c r="L28" s="74">
        <f t="shared" ref="L28" si="44">L27+"0:01"</f>
        <v>0.32222222222222224</v>
      </c>
      <c r="M28" s="74"/>
      <c r="N28" s="74"/>
      <c r="O28" s="74"/>
      <c r="P28" s="74"/>
      <c r="Q28" s="74"/>
      <c r="R28" s="74"/>
      <c r="S28" s="74"/>
      <c r="T28" s="74">
        <f t="shared" ref="T28:V28" si="45">T27+"0:01"</f>
        <v>0.59305555555555556</v>
      </c>
      <c r="U28" s="74"/>
      <c r="V28" s="74">
        <f t="shared" si="45"/>
        <v>0.61388888888888893</v>
      </c>
      <c r="W28" s="74">
        <f t="shared" ref="W28:Y28" si="46">W27+"0:01"</f>
        <v>0.63472222222222219</v>
      </c>
      <c r="X28" s="74"/>
      <c r="Y28" s="74">
        <f t="shared" si="46"/>
        <v>0.65555555555555556</v>
      </c>
      <c r="Z28" s="74">
        <f t="shared" ref="Z28" si="47">Z27+"0:01"</f>
        <v>0.67638888888888893</v>
      </c>
      <c r="AA28" s="74"/>
      <c r="AB28" s="74">
        <f t="shared" ref="AB28" si="48">AB27+"0:01"</f>
        <v>0.69722222222222219</v>
      </c>
      <c r="AC28" s="74">
        <f t="shared" si="36"/>
        <v>0.71805555555555556</v>
      </c>
      <c r="AD28" s="74"/>
      <c r="AE28" s="74">
        <f t="shared" ref="AE28" si="49">AE27+"0:01"</f>
        <v>0.73888888888888893</v>
      </c>
      <c r="AF28" s="74"/>
      <c r="AG28" s="74"/>
      <c r="AH28" s="103"/>
    </row>
    <row r="29" spans="1:35" s="18" customFormat="1" ht="15" customHeight="1" x14ac:dyDescent="0.3">
      <c r="A29" s="114">
        <v>11</v>
      </c>
      <c r="B29" s="95" t="s">
        <v>29</v>
      </c>
      <c r="C29" s="60" t="s">
        <v>84</v>
      </c>
      <c r="D29" s="74">
        <f t="shared" si="27"/>
        <v>0.21875</v>
      </c>
      <c r="E29" s="74"/>
      <c r="F29" s="74">
        <f t="shared" ref="F29:G29" si="50">F28+"0:01"</f>
        <v>0.23958333333333334</v>
      </c>
      <c r="G29" s="74">
        <f t="shared" si="50"/>
        <v>0.26041666666666669</v>
      </c>
      <c r="H29" s="74"/>
      <c r="I29" s="74">
        <f t="shared" ref="I29:J29" si="51">I28+"0:01"</f>
        <v>0.28125</v>
      </c>
      <c r="J29" s="74">
        <f t="shared" si="51"/>
        <v>0.30208333333333331</v>
      </c>
      <c r="K29" s="74"/>
      <c r="L29" s="74">
        <f t="shared" ref="L29" si="52">L28+"0:01"</f>
        <v>0.32291666666666669</v>
      </c>
      <c r="M29" s="74"/>
      <c r="N29" s="74"/>
      <c r="O29" s="74"/>
      <c r="P29" s="74"/>
      <c r="Q29" s="74"/>
      <c r="R29" s="74"/>
      <c r="S29" s="74"/>
      <c r="T29" s="74">
        <f t="shared" ref="T29:V29" si="53">T28+"0:01"</f>
        <v>0.59375</v>
      </c>
      <c r="U29" s="74"/>
      <c r="V29" s="74">
        <f t="shared" si="53"/>
        <v>0.61458333333333337</v>
      </c>
      <c r="W29" s="74">
        <f t="shared" ref="W29:Y29" si="54">W28+"0:01"</f>
        <v>0.63541666666666663</v>
      </c>
      <c r="X29" s="74"/>
      <c r="Y29" s="74">
        <f t="shared" si="54"/>
        <v>0.65625</v>
      </c>
      <c r="Z29" s="74">
        <f t="shared" ref="Z29" si="55">Z28+"0:01"</f>
        <v>0.67708333333333337</v>
      </c>
      <c r="AA29" s="74"/>
      <c r="AB29" s="74">
        <f t="shared" ref="AB29" si="56">AB28+"0:01"</f>
        <v>0.69791666666666663</v>
      </c>
      <c r="AC29" s="74">
        <f t="shared" si="36"/>
        <v>0.71875</v>
      </c>
      <c r="AD29" s="74"/>
      <c r="AE29" s="74">
        <f t="shared" ref="AE29" si="57">AE28+"0:01"</f>
        <v>0.73958333333333337</v>
      </c>
      <c r="AF29" s="74"/>
      <c r="AG29" s="74"/>
      <c r="AH29" s="103"/>
    </row>
    <row r="30" spans="1:35" s="18" customFormat="1" ht="15" customHeight="1" x14ac:dyDescent="0.3">
      <c r="A30" s="114">
        <v>10</v>
      </c>
      <c r="B30" s="95" t="s">
        <v>47</v>
      </c>
      <c r="C30" s="60" t="s">
        <v>83</v>
      </c>
      <c r="D30" s="60"/>
      <c r="E30" s="74">
        <f t="shared" ref="E30" si="58">E27+"0:02"</f>
        <v>0.22847222222222222</v>
      </c>
      <c r="F30" s="74"/>
      <c r="G30" s="74"/>
      <c r="H30" s="74">
        <f t="shared" ref="H30:AH30" si="59">H27+"0:02"</f>
        <v>0.27013888888888887</v>
      </c>
      <c r="I30" s="74"/>
      <c r="J30" s="74"/>
      <c r="K30" s="74">
        <f t="shared" si="59"/>
        <v>0.31180555555555556</v>
      </c>
      <c r="L30" s="74"/>
      <c r="M30" s="74">
        <f t="shared" ref="M30" si="60">M27+"0:02"</f>
        <v>0.33263888888888887</v>
      </c>
      <c r="N30" s="74">
        <f t="shared" si="59"/>
        <v>0.35624999999999996</v>
      </c>
      <c r="O30" s="74">
        <f t="shared" si="59"/>
        <v>0.39791666666666664</v>
      </c>
      <c r="P30" s="74">
        <f t="shared" si="59"/>
        <v>0.43958333333333377</v>
      </c>
      <c r="Q30" s="74">
        <f t="shared" si="59"/>
        <v>0.48124999999999979</v>
      </c>
      <c r="R30" s="74">
        <f t="shared" si="59"/>
        <v>0.52291666666666681</v>
      </c>
      <c r="S30" s="74">
        <f t="shared" si="59"/>
        <v>0.56458333333333377</v>
      </c>
      <c r="T30" s="74"/>
      <c r="U30" s="74">
        <f t="shared" si="59"/>
        <v>0.60347222222222219</v>
      </c>
      <c r="V30" s="74"/>
      <c r="W30" s="74"/>
      <c r="X30" s="74">
        <f t="shared" si="59"/>
        <v>0.64513888888888882</v>
      </c>
      <c r="Y30" s="74"/>
      <c r="Z30" s="74"/>
      <c r="AA30" s="74">
        <f t="shared" si="59"/>
        <v>0.68680555555555556</v>
      </c>
      <c r="AB30" s="74"/>
      <c r="AC30" s="74"/>
      <c r="AD30" s="74">
        <f t="shared" si="59"/>
        <v>0.7284722222222223</v>
      </c>
      <c r="AE30" s="74"/>
      <c r="AF30" s="74">
        <f t="shared" ref="AF30" si="61">AF27+"0:02"</f>
        <v>0.74930555555555556</v>
      </c>
      <c r="AG30" s="74">
        <f t="shared" si="59"/>
        <v>0.77291666666666681</v>
      </c>
      <c r="AH30" s="103">
        <f t="shared" si="59"/>
        <v>0.85625000000000007</v>
      </c>
    </row>
    <row r="31" spans="1:35" s="18" customFormat="1" ht="15" customHeight="1" x14ac:dyDescent="0.3">
      <c r="A31" s="114">
        <v>9</v>
      </c>
      <c r="B31" s="95" t="s">
        <v>46</v>
      </c>
      <c r="C31" s="60"/>
      <c r="D31" s="60"/>
      <c r="E31" s="74">
        <f t="shared" ref="E31" si="62">E30+"0:01"</f>
        <v>0.22916666666666666</v>
      </c>
      <c r="F31" s="74"/>
      <c r="G31" s="74"/>
      <c r="H31" s="74">
        <f t="shared" ref="H31:AH31" si="63">H30+"0:01"</f>
        <v>0.27083333333333331</v>
      </c>
      <c r="I31" s="74"/>
      <c r="J31" s="74"/>
      <c r="K31" s="74">
        <f t="shared" si="63"/>
        <v>0.3125</v>
      </c>
      <c r="L31" s="74"/>
      <c r="M31" s="74">
        <f t="shared" ref="M31" si="64">M30+"0:01"</f>
        <v>0.33333333333333331</v>
      </c>
      <c r="N31" s="74">
        <f t="shared" si="63"/>
        <v>0.3569444444444444</v>
      </c>
      <c r="O31" s="74">
        <f t="shared" si="63"/>
        <v>0.39861111111111108</v>
      </c>
      <c r="P31" s="74">
        <f t="shared" si="63"/>
        <v>0.44027777777777821</v>
      </c>
      <c r="Q31" s="74">
        <f t="shared" si="63"/>
        <v>0.48194444444444423</v>
      </c>
      <c r="R31" s="74">
        <f t="shared" si="63"/>
        <v>0.52361111111111125</v>
      </c>
      <c r="S31" s="74">
        <f t="shared" si="63"/>
        <v>0.56527777777777821</v>
      </c>
      <c r="T31" s="74"/>
      <c r="U31" s="74">
        <f t="shared" si="63"/>
        <v>0.60416666666666663</v>
      </c>
      <c r="V31" s="74"/>
      <c r="W31" s="74"/>
      <c r="X31" s="74">
        <f t="shared" si="63"/>
        <v>0.64583333333333326</v>
      </c>
      <c r="Y31" s="74"/>
      <c r="Z31" s="74"/>
      <c r="AA31" s="74">
        <f t="shared" si="63"/>
        <v>0.6875</v>
      </c>
      <c r="AB31" s="74"/>
      <c r="AC31" s="74"/>
      <c r="AD31" s="74">
        <f t="shared" si="63"/>
        <v>0.72916666666666674</v>
      </c>
      <c r="AE31" s="74"/>
      <c r="AF31" s="74">
        <f t="shared" ref="AF31" si="65">AF30+"0:01"</f>
        <v>0.75</v>
      </c>
      <c r="AG31" s="74">
        <f t="shared" si="63"/>
        <v>0.77361111111111125</v>
      </c>
      <c r="AH31" s="103">
        <f t="shared" si="63"/>
        <v>0.85694444444444451</v>
      </c>
    </row>
    <row r="32" spans="1:35" s="18" customFormat="1" ht="15" customHeight="1" x14ac:dyDescent="0.3">
      <c r="A32" s="114">
        <v>8</v>
      </c>
      <c r="B32" s="95" t="s">
        <v>27</v>
      </c>
      <c r="C32" s="60"/>
      <c r="D32" s="60"/>
      <c r="E32" s="74">
        <f>E31+"0:01"</f>
        <v>0.2298611111111111</v>
      </c>
      <c r="F32" s="74"/>
      <c r="G32" s="74"/>
      <c r="H32" s="74">
        <f t="shared" ref="H32:AH32" si="66">H31+"0:01"</f>
        <v>0.27152777777777776</v>
      </c>
      <c r="I32" s="74"/>
      <c r="J32" s="74"/>
      <c r="K32" s="74">
        <f t="shared" si="66"/>
        <v>0.31319444444444444</v>
      </c>
      <c r="L32" s="74"/>
      <c r="M32" s="74">
        <f t="shared" ref="M32" si="67">M31+"0:01"</f>
        <v>0.33402777777777776</v>
      </c>
      <c r="N32" s="74">
        <f t="shared" si="66"/>
        <v>0.35763888888888884</v>
      </c>
      <c r="O32" s="74">
        <f t="shared" si="66"/>
        <v>0.39930555555555552</v>
      </c>
      <c r="P32" s="74">
        <f t="shared" si="66"/>
        <v>0.44097222222222265</v>
      </c>
      <c r="Q32" s="74">
        <f t="shared" si="66"/>
        <v>0.48263888888888867</v>
      </c>
      <c r="R32" s="74">
        <f t="shared" si="66"/>
        <v>0.52430555555555569</v>
      </c>
      <c r="S32" s="74">
        <f t="shared" si="66"/>
        <v>0.56597222222222265</v>
      </c>
      <c r="T32" s="74"/>
      <c r="U32" s="74">
        <f t="shared" si="66"/>
        <v>0.60486111111111107</v>
      </c>
      <c r="V32" s="74"/>
      <c r="W32" s="74"/>
      <c r="X32" s="74">
        <f t="shared" si="66"/>
        <v>0.6465277777777777</v>
      </c>
      <c r="Y32" s="74"/>
      <c r="Z32" s="74"/>
      <c r="AA32" s="74">
        <f t="shared" si="66"/>
        <v>0.68819444444444444</v>
      </c>
      <c r="AB32" s="74"/>
      <c r="AC32" s="74"/>
      <c r="AD32" s="74">
        <f t="shared" si="66"/>
        <v>0.72986111111111118</v>
      </c>
      <c r="AE32" s="74"/>
      <c r="AF32" s="74">
        <f t="shared" ref="AF32" si="68">AF31+"0:01"</f>
        <v>0.75069444444444444</v>
      </c>
      <c r="AG32" s="74">
        <f t="shared" si="66"/>
        <v>0.77430555555555569</v>
      </c>
      <c r="AH32" s="103">
        <f t="shared" si="66"/>
        <v>0.85763888888888895</v>
      </c>
    </row>
    <row r="33" spans="1:37" s="18" customFormat="1" ht="15" customHeight="1" x14ac:dyDescent="0.3">
      <c r="A33" s="114">
        <v>7</v>
      </c>
      <c r="B33" s="95" t="s">
        <v>23</v>
      </c>
      <c r="C33" s="60"/>
      <c r="D33" s="60"/>
      <c r="E33" s="74">
        <f>E32+"0:02"</f>
        <v>0.23124999999999998</v>
      </c>
      <c r="F33" s="74"/>
      <c r="G33" s="74"/>
      <c r="H33" s="74">
        <f t="shared" ref="H33:AH37" si="69">H32+"0:02"</f>
        <v>0.27291666666666664</v>
      </c>
      <c r="I33" s="74"/>
      <c r="J33" s="74"/>
      <c r="K33" s="74">
        <f t="shared" si="69"/>
        <v>0.31458333333333333</v>
      </c>
      <c r="L33" s="74"/>
      <c r="M33" s="74">
        <f t="shared" ref="M33" si="70">M32+"0:02"</f>
        <v>0.33541666666666664</v>
      </c>
      <c r="N33" s="74">
        <f t="shared" si="69"/>
        <v>0.35902777777777772</v>
      </c>
      <c r="O33" s="74">
        <f t="shared" si="69"/>
        <v>0.40069444444444441</v>
      </c>
      <c r="P33" s="74">
        <f t="shared" si="69"/>
        <v>0.44236111111111154</v>
      </c>
      <c r="Q33" s="74">
        <f t="shared" si="69"/>
        <v>0.48402777777777756</v>
      </c>
      <c r="R33" s="74">
        <f t="shared" si="69"/>
        <v>0.52569444444444458</v>
      </c>
      <c r="S33" s="74">
        <f t="shared" si="69"/>
        <v>0.56736111111111154</v>
      </c>
      <c r="T33" s="74"/>
      <c r="U33" s="74">
        <f t="shared" si="69"/>
        <v>0.60624999999999996</v>
      </c>
      <c r="V33" s="74"/>
      <c r="W33" s="74"/>
      <c r="X33" s="74">
        <f t="shared" si="69"/>
        <v>0.64791666666666659</v>
      </c>
      <c r="Y33" s="74"/>
      <c r="Z33" s="74"/>
      <c r="AA33" s="74">
        <f t="shared" si="69"/>
        <v>0.68958333333333333</v>
      </c>
      <c r="AB33" s="74"/>
      <c r="AC33" s="74"/>
      <c r="AD33" s="74">
        <f t="shared" si="69"/>
        <v>0.73125000000000007</v>
      </c>
      <c r="AE33" s="74"/>
      <c r="AF33" s="74">
        <f t="shared" ref="AF33" si="71">AF32+"0:02"</f>
        <v>0.75208333333333333</v>
      </c>
      <c r="AG33" s="74">
        <f t="shared" si="69"/>
        <v>0.77569444444444458</v>
      </c>
      <c r="AH33" s="103">
        <f t="shared" si="69"/>
        <v>0.85902777777777783</v>
      </c>
    </row>
    <row r="34" spans="1:37" s="18" customFormat="1" ht="15" customHeight="1" x14ac:dyDescent="0.3">
      <c r="A34" s="114">
        <v>6</v>
      </c>
      <c r="B34" s="95" t="s">
        <v>22</v>
      </c>
      <c r="C34" s="60"/>
      <c r="D34" s="60"/>
      <c r="E34" s="74">
        <f>E33+"0:02"</f>
        <v>0.23263888888888887</v>
      </c>
      <c r="F34" s="74"/>
      <c r="G34" s="74"/>
      <c r="H34" s="74">
        <f t="shared" si="69"/>
        <v>0.27430555555555552</v>
      </c>
      <c r="I34" s="74"/>
      <c r="J34" s="74"/>
      <c r="K34" s="74">
        <f t="shared" si="69"/>
        <v>0.31597222222222221</v>
      </c>
      <c r="L34" s="74"/>
      <c r="M34" s="74">
        <f t="shared" ref="M34" si="72">M33+"0:02"</f>
        <v>0.33680555555555552</v>
      </c>
      <c r="N34" s="74">
        <f t="shared" si="69"/>
        <v>0.36041666666666661</v>
      </c>
      <c r="O34" s="74">
        <f t="shared" si="69"/>
        <v>0.40208333333333329</v>
      </c>
      <c r="P34" s="74">
        <f t="shared" si="69"/>
        <v>0.44375000000000042</v>
      </c>
      <c r="Q34" s="74">
        <f t="shared" si="69"/>
        <v>0.48541666666666644</v>
      </c>
      <c r="R34" s="74">
        <f t="shared" si="69"/>
        <v>0.52708333333333346</v>
      </c>
      <c r="S34" s="74">
        <f t="shared" si="69"/>
        <v>0.56875000000000042</v>
      </c>
      <c r="T34" s="74"/>
      <c r="U34" s="74">
        <f t="shared" si="69"/>
        <v>0.60763888888888884</v>
      </c>
      <c r="V34" s="74"/>
      <c r="W34" s="74"/>
      <c r="X34" s="74">
        <f t="shared" si="69"/>
        <v>0.64930555555555547</v>
      </c>
      <c r="Y34" s="74"/>
      <c r="Z34" s="74"/>
      <c r="AA34" s="74">
        <f t="shared" si="69"/>
        <v>0.69097222222222221</v>
      </c>
      <c r="AB34" s="74"/>
      <c r="AC34" s="74"/>
      <c r="AD34" s="74">
        <f t="shared" si="69"/>
        <v>0.73263888888888895</v>
      </c>
      <c r="AE34" s="74"/>
      <c r="AF34" s="74">
        <f t="shared" ref="AF34" si="73">AF33+"0:02"</f>
        <v>0.75347222222222221</v>
      </c>
      <c r="AG34" s="74">
        <f t="shared" si="69"/>
        <v>0.77708333333333346</v>
      </c>
      <c r="AH34" s="103">
        <f t="shared" si="69"/>
        <v>0.86041666666666672</v>
      </c>
    </row>
    <row r="35" spans="1:37" s="18" customFormat="1" ht="15" customHeight="1" x14ac:dyDescent="0.3">
      <c r="A35" s="114">
        <v>5</v>
      </c>
      <c r="B35" s="95" t="s">
        <v>21</v>
      </c>
      <c r="C35" s="60"/>
      <c r="D35" s="60"/>
      <c r="E35" s="74">
        <f>E34+"0:02"</f>
        <v>0.23402777777777775</v>
      </c>
      <c r="F35" s="74"/>
      <c r="G35" s="74"/>
      <c r="H35" s="74">
        <f t="shared" si="69"/>
        <v>0.27569444444444441</v>
      </c>
      <c r="I35" s="74"/>
      <c r="J35" s="74"/>
      <c r="K35" s="74">
        <f t="shared" si="69"/>
        <v>0.31736111111111109</v>
      </c>
      <c r="L35" s="74"/>
      <c r="M35" s="74">
        <f t="shared" ref="M35" si="74">M34+"0:02"</f>
        <v>0.33819444444444441</v>
      </c>
      <c r="N35" s="74">
        <f t="shared" si="69"/>
        <v>0.36180555555555549</v>
      </c>
      <c r="O35" s="74">
        <f t="shared" si="69"/>
        <v>0.40347222222222218</v>
      </c>
      <c r="P35" s="74">
        <f t="shared" si="69"/>
        <v>0.44513888888888931</v>
      </c>
      <c r="Q35" s="74">
        <f t="shared" si="69"/>
        <v>0.48680555555555532</v>
      </c>
      <c r="R35" s="74">
        <f t="shared" si="69"/>
        <v>0.52847222222222234</v>
      </c>
      <c r="S35" s="74">
        <f t="shared" si="69"/>
        <v>0.57013888888888931</v>
      </c>
      <c r="T35" s="74"/>
      <c r="U35" s="74">
        <f t="shared" si="69"/>
        <v>0.60902777777777772</v>
      </c>
      <c r="V35" s="74"/>
      <c r="W35" s="74"/>
      <c r="X35" s="74">
        <f t="shared" si="69"/>
        <v>0.65069444444444435</v>
      </c>
      <c r="Y35" s="74"/>
      <c r="Z35" s="74"/>
      <c r="AA35" s="74">
        <f t="shared" si="69"/>
        <v>0.69236111111111109</v>
      </c>
      <c r="AB35" s="74"/>
      <c r="AC35" s="74"/>
      <c r="AD35" s="74">
        <f t="shared" si="69"/>
        <v>0.73402777777777783</v>
      </c>
      <c r="AE35" s="74"/>
      <c r="AF35" s="74">
        <f t="shared" ref="AF35" si="75">AF34+"0:02"</f>
        <v>0.75486111111111109</v>
      </c>
      <c r="AG35" s="74">
        <f t="shared" si="69"/>
        <v>0.77847222222222234</v>
      </c>
      <c r="AH35" s="103">
        <f t="shared" si="69"/>
        <v>0.8618055555555556</v>
      </c>
    </row>
    <row r="36" spans="1:37" s="18" customFormat="1" ht="15" customHeight="1" x14ac:dyDescent="0.3">
      <c r="A36" s="114">
        <v>4</v>
      </c>
      <c r="B36" s="95" t="s">
        <v>20</v>
      </c>
      <c r="C36" s="60"/>
      <c r="D36" s="60"/>
      <c r="E36" s="74">
        <f>E35+"0:02"</f>
        <v>0.23541666666666664</v>
      </c>
      <c r="F36" s="74"/>
      <c r="G36" s="74"/>
      <c r="H36" s="74">
        <f t="shared" si="69"/>
        <v>0.27708333333333329</v>
      </c>
      <c r="I36" s="74"/>
      <c r="J36" s="74"/>
      <c r="K36" s="74">
        <f t="shared" si="69"/>
        <v>0.31874999999999998</v>
      </c>
      <c r="L36" s="74"/>
      <c r="M36" s="74">
        <f t="shared" ref="M36" si="76">M35+"0:02"</f>
        <v>0.33958333333333329</v>
      </c>
      <c r="N36" s="74">
        <f t="shared" si="69"/>
        <v>0.36319444444444438</v>
      </c>
      <c r="O36" s="74">
        <f t="shared" si="69"/>
        <v>0.40486111111111106</v>
      </c>
      <c r="P36" s="74">
        <f t="shared" si="69"/>
        <v>0.44652777777777819</v>
      </c>
      <c r="Q36" s="74">
        <f t="shared" si="69"/>
        <v>0.48819444444444421</v>
      </c>
      <c r="R36" s="74">
        <f t="shared" si="69"/>
        <v>0.52986111111111123</v>
      </c>
      <c r="S36" s="74">
        <f t="shared" si="69"/>
        <v>0.57152777777777819</v>
      </c>
      <c r="T36" s="74"/>
      <c r="U36" s="74">
        <f t="shared" si="69"/>
        <v>0.61041666666666661</v>
      </c>
      <c r="V36" s="74"/>
      <c r="W36" s="74"/>
      <c r="X36" s="74">
        <f t="shared" si="69"/>
        <v>0.65208333333333324</v>
      </c>
      <c r="Y36" s="74"/>
      <c r="Z36" s="74"/>
      <c r="AA36" s="74">
        <f t="shared" si="69"/>
        <v>0.69374999999999998</v>
      </c>
      <c r="AB36" s="74"/>
      <c r="AC36" s="74"/>
      <c r="AD36" s="74">
        <f t="shared" si="69"/>
        <v>0.73541666666666672</v>
      </c>
      <c r="AE36" s="74"/>
      <c r="AF36" s="74">
        <f t="shared" ref="AF36" si="77">AF35+"0:02"</f>
        <v>0.75624999999999998</v>
      </c>
      <c r="AG36" s="74">
        <f t="shared" si="69"/>
        <v>0.77986111111111123</v>
      </c>
      <c r="AH36" s="103">
        <f t="shared" si="69"/>
        <v>0.86319444444444449</v>
      </c>
    </row>
    <row r="37" spans="1:37" s="18" customFormat="1" ht="15" customHeight="1" x14ac:dyDescent="0.3">
      <c r="A37" s="114">
        <v>3</v>
      </c>
      <c r="B37" s="95" t="s">
        <v>28</v>
      </c>
      <c r="C37" s="60"/>
      <c r="D37" s="60"/>
      <c r="E37" s="74">
        <f>E36+"0:02"</f>
        <v>0.23680555555555552</v>
      </c>
      <c r="F37" s="74"/>
      <c r="G37" s="74"/>
      <c r="H37" s="74">
        <f t="shared" si="69"/>
        <v>0.27847222222222218</v>
      </c>
      <c r="I37" s="74"/>
      <c r="J37" s="74"/>
      <c r="K37" s="74">
        <f t="shared" si="69"/>
        <v>0.32013888888888886</v>
      </c>
      <c r="L37" s="74"/>
      <c r="M37" s="74">
        <f t="shared" ref="M37" si="78">M36+"0:02"</f>
        <v>0.34097222222222218</v>
      </c>
      <c r="N37" s="74">
        <f t="shared" si="69"/>
        <v>0.36458333333333326</v>
      </c>
      <c r="O37" s="74">
        <f t="shared" si="69"/>
        <v>0.40624999999999994</v>
      </c>
      <c r="P37" s="74">
        <f t="shared" si="69"/>
        <v>0.44791666666666707</v>
      </c>
      <c r="Q37" s="74">
        <f t="shared" si="69"/>
        <v>0.48958333333333309</v>
      </c>
      <c r="R37" s="74">
        <f t="shared" si="69"/>
        <v>0.53125000000000011</v>
      </c>
      <c r="S37" s="74">
        <f t="shared" si="69"/>
        <v>0.57291666666666707</v>
      </c>
      <c r="T37" s="74"/>
      <c r="U37" s="74">
        <f t="shared" si="69"/>
        <v>0.61180555555555549</v>
      </c>
      <c r="V37" s="74"/>
      <c r="W37" s="74"/>
      <c r="X37" s="74">
        <f t="shared" si="69"/>
        <v>0.65347222222222212</v>
      </c>
      <c r="Y37" s="74"/>
      <c r="Z37" s="74"/>
      <c r="AA37" s="74">
        <f t="shared" si="69"/>
        <v>0.69513888888888886</v>
      </c>
      <c r="AB37" s="74"/>
      <c r="AC37" s="74"/>
      <c r="AD37" s="74">
        <f t="shared" si="69"/>
        <v>0.7368055555555556</v>
      </c>
      <c r="AE37" s="74"/>
      <c r="AF37" s="74">
        <f t="shared" ref="AF37" si="79">AF36+"0:02"</f>
        <v>0.75763888888888886</v>
      </c>
      <c r="AG37" s="74">
        <f t="shared" si="69"/>
        <v>0.78125000000000011</v>
      </c>
      <c r="AH37" s="103">
        <f t="shared" si="69"/>
        <v>0.86458333333333337</v>
      </c>
    </row>
    <row r="38" spans="1:37" s="18" customFormat="1" ht="15" customHeight="1" x14ac:dyDescent="0.3">
      <c r="A38" s="114">
        <v>2</v>
      </c>
      <c r="B38" s="95" t="s">
        <v>44</v>
      </c>
      <c r="C38" s="60"/>
      <c r="D38" s="60"/>
      <c r="E38" s="74">
        <f t="shared" ref="E38" si="80">E37+"0:02"</f>
        <v>0.2381944444444444</v>
      </c>
      <c r="F38" s="74"/>
      <c r="G38" s="74"/>
      <c r="H38" s="74">
        <f t="shared" ref="H38:AH38" si="81">H37+"0:02"</f>
        <v>0.27986111111111106</v>
      </c>
      <c r="I38" s="74"/>
      <c r="J38" s="74"/>
      <c r="K38" s="74">
        <f t="shared" si="81"/>
        <v>0.32152777777777775</v>
      </c>
      <c r="L38" s="74"/>
      <c r="M38" s="74">
        <f t="shared" ref="M38" si="82">M37+"0:02"</f>
        <v>0.34236111111111106</v>
      </c>
      <c r="N38" s="74">
        <f t="shared" si="81"/>
        <v>0.36597222222222214</v>
      </c>
      <c r="O38" s="74">
        <f t="shared" si="81"/>
        <v>0.40763888888888883</v>
      </c>
      <c r="P38" s="74">
        <f t="shared" si="81"/>
        <v>0.44930555555555596</v>
      </c>
      <c r="Q38" s="74">
        <f t="shared" si="81"/>
        <v>0.49097222222222198</v>
      </c>
      <c r="R38" s="74">
        <f t="shared" si="81"/>
        <v>0.53263888888888899</v>
      </c>
      <c r="S38" s="74">
        <f t="shared" si="81"/>
        <v>0.57430555555555596</v>
      </c>
      <c r="T38" s="74"/>
      <c r="U38" s="74">
        <f t="shared" si="81"/>
        <v>0.61319444444444438</v>
      </c>
      <c r="V38" s="74"/>
      <c r="W38" s="74"/>
      <c r="X38" s="74">
        <f t="shared" si="81"/>
        <v>0.65486111111111101</v>
      </c>
      <c r="Y38" s="74"/>
      <c r="Z38" s="74"/>
      <c r="AA38" s="74">
        <f t="shared" si="81"/>
        <v>0.69652777777777775</v>
      </c>
      <c r="AB38" s="74"/>
      <c r="AC38" s="74"/>
      <c r="AD38" s="74">
        <f t="shared" si="81"/>
        <v>0.73819444444444449</v>
      </c>
      <c r="AE38" s="74"/>
      <c r="AF38" s="74">
        <f t="shared" ref="AF38" si="83">AF37+"0:02"</f>
        <v>0.75902777777777775</v>
      </c>
      <c r="AG38" s="74">
        <f t="shared" si="81"/>
        <v>0.78263888888888899</v>
      </c>
      <c r="AH38" s="103">
        <f t="shared" si="81"/>
        <v>0.86597222222222225</v>
      </c>
    </row>
    <row r="39" spans="1:37" s="18" customFormat="1" ht="13.8" thickBot="1" x14ac:dyDescent="0.35">
      <c r="A39" s="114">
        <v>1</v>
      </c>
      <c r="B39" s="97" t="s">
        <v>97</v>
      </c>
      <c r="C39" s="60" t="s">
        <v>84</v>
      </c>
      <c r="D39" s="60"/>
      <c r="E39" s="74">
        <f t="shared" ref="E39" si="84">E38+"0:03"</f>
        <v>0.24027777777777773</v>
      </c>
      <c r="F39" s="74"/>
      <c r="G39" s="74"/>
      <c r="H39" s="74">
        <f t="shared" ref="H39:AH39" si="85">H38+"0:03"</f>
        <v>0.28194444444444439</v>
      </c>
      <c r="I39" s="74"/>
      <c r="J39" s="74"/>
      <c r="K39" s="74">
        <f t="shared" si="85"/>
        <v>0.32361111111111107</v>
      </c>
      <c r="L39" s="74"/>
      <c r="M39" s="74">
        <f t="shared" ref="M39" si="86">M38+"0:03"</f>
        <v>0.34444444444444439</v>
      </c>
      <c r="N39" s="74">
        <f t="shared" si="85"/>
        <v>0.36805555555555547</v>
      </c>
      <c r="O39" s="74">
        <f t="shared" si="85"/>
        <v>0.40972222222222215</v>
      </c>
      <c r="P39" s="74">
        <f t="shared" si="85"/>
        <v>0.45138888888888928</v>
      </c>
      <c r="Q39" s="74">
        <f t="shared" si="85"/>
        <v>0.4930555555555553</v>
      </c>
      <c r="R39" s="74">
        <f t="shared" si="85"/>
        <v>0.53472222222222232</v>
      </c>
      <c r="S39" s="74">
        <f t="shared" si="85"/>
        <v>0.57638888888888928</v>
      </c>
      <c r="T39" s="74"/>
      <c r="U39" s="74">
        <f t="shared" si="85"/>
        <v>0.6152777777777777</v>
      </c>
      <c r="V39" s="74"/>
      <c r="W39" s="74"/>
      <c r="X39" s="74">
        <f t="shared" si="85"/>
        <v>0.65694444444444433</v>
      </c>
      <c r="Y39" s="74"/>
      <c r="Z39" s="74"/>
      <c r="AA39" s="74">
        <f t="shared" si="85"/>
        <v>0.69861111111111107</v>
      </c>
      <c r="AB39" s="74"/>
      <c r="AC39" s="74"/>
      <c r="AD39" s="74">
        <f t="shared" si="85"/>
        <v>0.74027777777777781</v>
      </c>
      <c r="AE39" s="74"/>
      <c r="AF39" s="74">
        <f t="shared" ref="AF39" si="87">AF38+"0:03"</f>
        <v>0.76111111111111107</v>
      </c>
      <c r="AG39" s="74">
        <f t="shared" si="85"/>
        <v>0.78472222222222232</v>
      </c>
      <c r="AH39" s="103">
        <f t="shared" si="85"/>
        <v>0.86805555555555558</v>
      </c>
    </row>
    <row r="40" spans="1:37" s="29" customFormat="1" ht="14.4" thickBot="1" x14ac:dyDescent="0.35">
      <c r="A40" s="129"/>
      <c r="B40" s="130" t="s">
        <v>2</v>
      </c>
      <c r="C40" s="131"/>
      <c r="D40" s="132">
        <v>1.8</v>
      </c>
      <c r="E40" s="132">
        <v>6.9</v>
      </c>
      <c r="F40" s="132">
        <v>1.8</v>
      </c>
      <c r="G40" s="132">
        <v>1.8</v>
      </c>
      <c r="H40" s="132">
        <v>6.9</v>
      </c>
      <c r="I40" s="132">
        <v>1.8</v>
      </c>
      <c r="J40" s="132">
        <v>1.8</v>
      </c>
      <c r="K40" s="132">
        <v>6.9</v>
      </c>
      <c r="L40" s="132">
        <v>1.8</v>
      </c>
      <c r="M40" s="132">
        <v>6.9</v>
      </c>
      <c r="N40" s="132">
        <v>6.9</v>
      </c>
      <c r="O40" s="132">
        <v>6.9</v>
      </c>
      <c r="P40" s="132">
        <v>6.9</v>
      </c>
      <c r="Q40" s="132">
        <v>6.9</v>
      </c>
      <c r="R40" s="132">
        <v>6.9</v>
      </c>
      <c r="S40" s="132">
        <v>6.9</v>
      </c>
      <c r="T40" s="132">
        <v>1.8</v>
      </c>
      <c r="U40" s="132">
        <v>6.9</v>
      </c>
      <c r="V40" s="132">
        <v>1.8</v>
      </c>
      <c r="W40" s="132">
        <v>1.8</v>
      </c>
      <c r="X40" s="132">
        <v>6.9</v>
      </c>
      <c r="Y40" s="132">
        <v>1.8</v>
      </c>
      <c r="Z40" s="132">
        <v>1.8</v>
      </c>
      <c r="AA40" s="132">
        <v>6.9</v>
      </c>
      <c r="AB40" s="132">
        <v>1.8</v>
      </c>
      <c r="AC40" s="132">
        <v>1.8</v>
      </c>
      <c r="AD40" s="132">
        <v>6.9</v>
      </c>
      <c r="AE40" s="132">
        <v>1.8</v>
      </c>
      <c r="AF40" s="132">
        <v>6.9</v>
      </c>
      <c r="AG40" s="132">
        <v>6.9</v>
      </c>
      <c r="AH40" s="134">
        <v>6.9</v>
      </c>
      <c r="AI40" s="127">
        <f>SUM(D40:AD40)</f>
        <v>120.00000000000001</v>
      </c>
      <c r="AK40" s="39"/>
    </row>
    <row r="41" spans="1:37" ht="14.4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</sheetData>
  <sheetProtection formatCells="0" formatColumns="0" formatRows="0" insertColumns="0" insertRows="0" insertHyperlinks="0" deleteColumns="0" deleteRows="0" sort="0" autoFilter="0" pivotTables="0"/>
  <phoneticPr fontId="15" type="noConversion"/>
  <pageMargins left="0.7" right="0.7" top="0.75" bottom="0.75" header="0.3" footer="0.3"/>
  <pageSetup paperSize="9" scale="63" fitToHeight="0" orientation="landscape" r:id="rId1"/>
  <headerFooter>
    <oddHeader>&amp;RPrinz návrh jízdních řádů 2026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6948-8115-4CBC-8EDF-B888D0BD1217}">
  <sheetPr>
    <pageSetUpPr fitToPage="1"/>
  </sheetPr>
  <dimension ref="A1:Y66"/>
  <sheetViews>
    <sheetView zoomScaleNormal="100" workbookViewId="0">
      <selection activeCell="Z51" sqref="Z51"/>
    </sheetView>
  </sheetViews>
  <sheetFormatPr defaultColWidth="8.6640625" defaultRowHeight="13.2" x14ac:dyDescent="0.3"/>
  <cols>
    <col min="1" max="1" width="4.6640625" style="1" customWidth="1"/>
    <col min="2" max="2" width="21.109375" style="1" customWidth="1"/>
    <col min="3" max="3" width="7.88671875" style="24" customWidth="1"/>
    <col min="4" max="4" width="8.6640625" style="1"/>
    <col min="5" max="8" width="4.6640625" style="1" customWidth="1"/>
    <col min="9" max="9" width="5.6640625" style="1" customWidth="1"/>
    <col min="10" max="22" width="6.109375" style="1" customWidth="1"/>
    <col min="23" max="25" width="4.6640625" style="1" customWidth="1"/>
    <col min="26" max="16384" width="8.6640625" style="1"/>
  </cols>
  <sheetData>
    <row r="1" spans="1:22" s="49" customFormat="1" ht="18" customHeight="1" x14ac:dyDescent="0.3">
      <c r="A1" s="2" t="s">
        <v>9</v>
      </c>
      <c r="B1" s="2"/>
      <c r="C1" s="21"/>
      <c r="D1" s="2" t="s">
        <v>102</v>
      </c>
    </row>
    <row r="2" spans="1:22" s="3" customFormat="1" ht="18" customHeight="1" x14ac:dyDescent="0.3">
      <c r="A2" s="4"/>
      <c r="B2" s="4"/>
      <c r="C2" s="15"/>
    </row>
    <row r="3" spans="1:22" s="3" customFormat="1" ht="15" customHeight="1" thickBot="1" x14ac:dyDescent="0.35">
      <c r="A3" s="4"/>
      <c r="B3" s="66" t="s">
        <v>15</v>
      </c>
      <c r="C3" s="15"/>
    </row>
    <row r="4" spans="1:22" s="3" customFormat="1" ht="15" customHeight="1" x14ac:dyDescent="0.3">
      <c r="A4" s="98" t="s">
        <v>1</v>
      </c>
      <c r="B4" s="110"/>
      <c r="C4" s="100"/>
      <c r="D4" s="141">
        <v>1</v>
      </c>
      <c r="E4" s="141">
        <v>3</v>
      </c>
      <c r="F4" s="141">
        <f>E4+2</f>
        <v>5</v>
      </c>
      <c r="G4" s="141">
        <f t="shared" ref="G4:V4" si="0">F4+2</f>
        <v>7</v>
      </c>
      <c r="H4" s="141">
        <f t="shared" si="0"/>
        <v>9</v>
      </c>
      <c r="I4" s="141">
        <f t="shared" si="0"/>
        <v>11</v>
      </c>
      <c r="J4" s="141">
        <f t="shared" si="0"/>
        <v>13</v>
      </c>
      <c r="K4" s="141">
        <f t="shared" si="0"/>
        <v>15</v>
      </c>
      <c r="L4" s="141">
        <f t="shared" si="0"/>
        <v>17</v>
      </c>
      <c r="M4" s="141">
        <f t="shared" si="0"/>
        <v>19</v>
      </c>
      <c r="N4" s="141">
        <f t="shared" si="0"/>
        <v>21</v>
      </c>
      <c r="O4" s="141">
        <f t="shared" si="0"/>
        <v>23</v>
      </c>
      <c r="P4" s="141">
        <f t="shared" si="0"/>
        <v>25</v>
      </c>
      <c r="Q4" s="141">
        <f t="shared" si="0"/>
        <v>27</v>
      </c>
      <c r="R4" s="141">
        <f t="shared" si="0"/>
        <v>29</v>
      </c>
      <c r="S4" s="141">
        <f t="shared" si="0"/>
        <v>31</v>
      </c>
      <c r="T4" s="141">
        <f t="shared" si="0"/>
        <v>33</v>
      </c>
      <c r="U4" s="141">
        <f t="shared" si="0"/>
        <v>35</v>
      </c>
      <c r="V4" s="142">
        <f t="shared" si="0"/>
        <v>37</v>
      </c>
    </row>
    <row r="5" spans="1:22" s="3" customFormat="1" ht="15" customHeight="1" x14ac:dyDescent="0.3">
      <c r="A5" s="102">
        <v>1</v>
      </c>
      <c r="B5" s="97" t="s">
        <v>53</v>
      </c>
      <c r="C5" s="96" t="s">
        <v>83</v>
      </c>
      <c r="D5" s="74"/>
      <c r="E5" s="74"/>
      <c r="F5" s="74"/>
      <c r="G5" s="86"/>
      <c r="H5" s="74"/>
      <c r="I5" s="74"/>
      <c r="J5" s="74"/>
      <c r="K5" s="74"/>
      <c r="L5" s="74"/>
      <c r="M5" s="74"/>
      <c r="N5" s="86"/>
      <c r="O5" s="74"/>
      <c r="P5" s="74"/>
      <c r="Q5" s="74"/>
      <c r="R5" s="74"/>
      <c r="S5" s="74"/>
      <c r="T5" s="74"/>
      <c r="U5" s="86"/>
      <c r="V5" s="103"/>
    </row>
    <row r="6" spans="1:22" s="3" customFormat="1" ht="15" customHeight="1" x14ac:dyDescent="0.3">
      <c r="A6" s="102">
        <v>2</v>
      </c>
      <c r="B6" s="97" t="s">
        <v>54</v>
      </c>
      <c r="C6" s="96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86"/>
      <c r="V6" s="140"/>
    </row>
    <row r="7" spans="1:22" s="3" customFormat="1" ht="15" customHeight="1" x14ac:dyDescent="0.3">
      <c r="A7" s="102">
        <v>3</v>
      </c>
      <c r="B7" s="97" t="s">
        <v>43</v>
      </c>
      <c r="C7" s="96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86"/>
      <c r="V7" s="103"/>
    </row>
    <row r="8" spans="1:22" s="3" customFormat="1" ht="15" customHeight="1" x14ac:dyDescent="0.3">
      <c r="A8" s="102">
        <v>4</v>
      </c>
      <c r="B8" s="97" t="s">
        <v>39</v>
      </c>
      <c r="C8" s="9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86"/>
      <c r="V8" s="103"/>
    </row>
    <row r="9" spans="1:22" s="3" customFormat="1" ht="15" customHeight="1" x14ac:dyDescent="0.3">
      <c r="A9" s="102">
        <v>5</v>
      </c>
      <c r="B9" s="97" t="s">
        <v>40</v>
      </c>
      <c r="C9" s="96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86"/>
      <c r="V9" s="140"/>
    </row>
    <row r="10" spans="1:22" s="3" customFormat="1" ht="15" customHeight="1" x14ac:dyDescent="0.3">
      <c r="A10" s="102">
        <v>6</v>
      </c>
      <c r="B10" s="97" t="s">
        <v>97</v>
      </c>
      <c r="C10" s="96"/>
      <c r="D10" s="74">
        <v>0.19027777777777777</v>
      </c>
      <c r="E10" s="74">
        <v>0.22361111111111101</v>
      </c>
      <c r="F10" s="74">
        <v>0.265277777777778</v>
      </c>
      <c r="G10" s="74">
        <v>0.30694444444444402</v>
      </c>
      <c r="H10" s="74">
        <v>0.34861111111111098</v>
      </c>
      <c r="I10" s="74">
        <v>0.390277777777778</v>
      </c>
      <c r="J10" s="74">
        <v>0.43194444444444402</v>
      </c>
      <c r="K10" s="74">
        <v>0.47361111111111098</v>
      </c>
      <c r="L10" s="74">
        <v>0.51527777777777795</v>
      </c>
      <c r="M10" s="74">
        <v>0.55694444444444402</v>
      </c>
      <c r="N10" s="74">
        <v>0.59861111111111098</v>
      </c>
      <c r="O10" s="74">
        <v>0.64027777777777795</v>
      </c>
      <c r="P10" s="74">
        <v>0.68194444444444402</v>
      </c>
      <c r="Q10" s="74">
        <v>0.72361111111111098</v>
      </c>
      <c r="R10" s="74">
        <v>0.76527777777777795</v>
      </c>
      <c r="S10" s="74">
        <v>0.80694444444444402</v>
      </c>
      <c r="T10" s="74">
        <v>0.84861111111111098</v>
      </c>
      <c r="U10" s="74">
        <v>0.89027777777777795</v>
      </c>
      <c r="V10" s="103">
        <v>0.93194444444444402</v>
      </c>
    </row>
    <row r="11" spans="1:22" s="3" customFormat="1" ht="15" customHeight="1" x14ac:dyDescent="0.3">
      <c r="A11" s="102">
        <v>7</v>
      </c>
      <c r="B11" s="97" t="s">
        <v>44</v>
      </c>
      <c r="C11" s="96"/>
      <c r="D11" s="74">
        <f>D10+"0:03"</f>
        <v>0.19236111111111109</v>
      </c>
      <c r="E11" s="74">
        <f t="shared" ref="E11:U11" si="1">E10+"0:03"</f>
        <v>0.22569444444444434</v>
      </c>
      <c r="F11" s="74">
        <f t="shared" si="1"/>
        <v>0.26736111111111133</v>
      </c>
      <c r="G11" s="74">
        <f t="shared" si="1"/>
        <v>0.30902777777777735</v>
      </c>
      <c r="H11" s="74">
        <f t="shared" si="1"/>
        <v>0.35069444444444431</v>
      </c>
      <c r="I11" s="74">
        <f t="shared" si="1"/>
        <v>0.39236111111111133</v>
      </c>
      <c r="J11" s="74">
        <f t="shared" si="1"/>
        <v>0.43402777777777735</v>
      </c>
      <c r="K11" s="74">
        <f t="shared" si="1"/>
        <v>0.47569444444444431</v>
      </c>
      <c r="L11" s="74">
        <f t="shared" si="1"/>
        <v>0.51736111111111127</v>
      </c>
      <c r="M11" s="74">
        <f t="shared" si="1"/>
        <v>0.55902777777777735</v>
      </c>
      <c r="N11" s="74">
        <f t="shared" si="1"/>
        <v>0.60069444444444431</v>
      </c>
      <c r="O11" s="74">
        <f t="shared" si="1"/>
        <v>0.64236111111111127</v>
      </c>
      <c r="P11" s="74">
        <f t="shared" si="1"/>
        <v>0.68402777777777735</v>
      </c>
      <c r="Q11" s="74">
        <f t="shared" si="1"/>
        <v>0.72569444444444431</v>
      </c>
      <c r="R11" s="74">
        <f t="shared" si="1"/>
        <v>0.76736111111111127</v>
      </c>
      <c r="S11" s="74">
        <f t="shared" si="1"/>
        <v>0.80902777777777735</v>
      </c>
      <c r="T11" s="74">
        <f t="shared" si="1"/>
        <v>0.85069444444444431</v>
      </c>
      <c r="U11" s="74">
        <f t="shared" si="1"/>
        <v>0.89236111111111127</v>
      </c>
      <c r="V11" s="103">
        <f t="shared" ref="V11:V12" si="2">V10+"0:02"</f>
        <v>0.9333333333333329</v>
      </c>
    </row>
    <row r="12" spans="1:22" s="3" customFormat="1" ht="15" customHeight="1" x14ac:dyDescent="0.3">
      <c r="A12" s="102">
        <v>8</v>
      </c>
      <c r="B12" s="97" t="s">
        <v>28</v>
      </c>
      <c r="C12" s="96"/>
      <c r="D12" s="74">
        <f t="shared" ref="D12" si="3">D11+"0:02"</f>
        <v>0.19374999999999998</v>
      </c>
      <c r="E12" s="74">
        <f t="shared" ref="E12:U12" si="4">E11+"0:02"</f>
        <v>0.22708333333333322</v>
      </c>
      <c r="F12" s="74">
        <f t="shared" si="4"/>
        <v>0.26875000000000021</v>
      </c>
      <c r="G12" s="74">
        <f t="shared" si="4"/>
        <v>0.31041666666666623</v>
      </c>
      <c r="H12" s="74">
        <f t="shared" si="4"/>
        <v>0.35208333333333319</v>
      </c>
      <c r="I12" s="74">
        <f t="shared" si="4"/>
        <v>0.39375000000000021</v>
      </c>
      <c r="J12" s="74">
        <f t="shared" si="4"/>
        <v>0.43541666666666623</v>
      </c>
      <c r="K12" s="74">
        <f t="shared" si="4"/>
        <v>0.47708333333333319</v>
      </c>
      <c r="L12" s="74">
        <f t="shared" si="4"/>
        <v>0.51875000000000016</v>
      </c>
      <c r="M12" s="74">
        <f t="shared" si="4"/>
        <v>0.56041666666666623</v>
      </c>
      <c r="N12" s="74">
        <f t="shared" si="4"/>
        <v>0.60208333333333319</v>
      </c>
      <c r="O12" s="74">
        <f t="shared" si="4"/>
        <v>0.64375000000000016</v>
      </c>
      <c r="P12" s="74">
        <f t="shared" si="4"/>
        <v>0.68541666666666623</v>
      </c>
      <c r="Q12" s="74">
        <f t="shared" si="4"/>
        <v>0.72708333333333319</v>
      </c>
      <c r="R12" s="74">
        <f t="shared" si="4"/>
        <v>0.76875000000000016</v>
      </c>
      <c r="S12" s="74">
        <f t="shared" si="4"/>
        <v>0.81041666666666623</v>
      </c>
      <c r="T12" s="74">
        <f t="shared" si="4"/>
        <v>0.85208333333333319</v>
      </c>
      <c r="U12" s="74">
        <f t="shared" si="4"/>
        <v>0.89375000000000016</v>
      </c>
      <c r="V12" s="103">
        <f t="shared" si="2"/>
        <v>0.93472222222222179</v>
      </c>
    </row>
    <row r="13" spans="1:22" s="3" customFormat="1" ht="15" customHeight="1" x14ac:dyDescent="0.3">
      <c r="A13" s="102">
        <v>9</v>
      </c>
      <c r="B13" s="97" t="s">
        <v>20</v>
      </c>
      <c r="C13" s="96"/>
      <c r="D13" s="74">
        <f>D12+"0:02"</f>
        <v>0.19513888888888886</v>
      </c>
      <c r="E13" s="74">
        <f t="shared" ref="E13:U14" si="5">E12+"0:02"</f>
        <v>0.2284722222222221</v>
      </c>
      <c r="F13" s="74">
        <f t="shared" si="5"/>
        <v>0.27013888888888909</v>
      </c>
      <c r="G13" s="74">
        <f t="shared" si="5"/>
        <v>0.31180555555555511</v>
      </c>
      <c r="H13" s="74">
        <f t="shared" si="5"/>
        <v>0.35347222222222208</v>
      </c>
      <c r="I13" s="74">
        <f t="shared" si="5"/>
        <v>0.39513888888888909</v>
      </c>
      <c r="J13" s="74">
        <f t="shared" si="5"/>
        <v>0.43680555555555511</v>
      </c>
      <c r="K13" s="74">
        <f t="shared" si="5"/>
        <v>0.47847222222222208</v>
      </c>
      <c r="L13" s="74">
        <f t="shared" si="5"/>
        <v>0.52013888888888904</v>
      </c>
      <c r="M13" s="74">
        <f t="shared" si="5"/>
        <v>0.56180555555555511</v>
      </c>
      <c r="N13" s="74">
        <f t="shared" si="5"/>
        <v>0.60347222222222208</v>
      </c>
      <c r="O13" s="74">
        <f t="shared" si="5"/>
        <v>0.64513888888888904</v>
      </c>
      <c r="P13" s="74">
        <f t="shared" si="5"/>
        <v>0.68680555555555511</v>
      </c>
      <c r="Q13" s="74">
        <f t="shared" si="5"/>
        <v>0.72847222222222208</v>
      </c>
      <c r="R13" s="74">
        <f t="shared" si="5"/>
        <v>0.77013888888888904</v>
      </c>
      <c r="S13" s="74">
        <f t="shared" si="5"/>
        <v>0.81180555555555511</v>
      </c>
      <c r="T13" s="74">
        <f t="shared" si="5"/>
        <v>0.85347222222222208</v>
      </c>
      <c r="U13" s="74">
        <f t="shared" si="5"/>
        <v>0.89513888888888904</v>
      </c>
      <c r="V13" s="103">
        <f t="shared" ref="V13:V16" si="6">V12+"0:01"</f>
        <v>0.93541666666666623</v>
      </c>
    </row>
    <row r="14" spans="1:22" s="3" customFormat="1" ht="15" customHeight="1" x14ac:dyDescent="0.3">
      <c r="A14" s="102">
        <v>10</v>
      </c>
      <c r="B14" s="97" t="s">
        <v>73</v>
      </c>
      <c r="C14" s="96"/>
      <c r="D14" s="74">
        <f>D13+"0:02"</f>
        <v>0.19652777777777775</v>
      </c>
      <c r="E14" s="74">
        <f t="shared" si="5"/>
        <v>0.22986111111111099</v>
      </c>
      <c r="F14" s="74">
        <f t="shared" si="5"/>
        <v>0.27152777777777798</v>
      </c>
      <c r="G14" s="74">
        <f t="shared" si="5"/>
        <v>0.313194444444444</v>
      </c>
      <c r="H14" s="74">
        <f t="shared" si="5"/>
        <v>0.35486111111111096</v>
      </c>
      <c r="I14" s="74">
        <f t="shared" si="5"/>
        <v>0.39652777777777798</v>
      </c>
      <c r="J14" s="74">
        <f t="shared" si="5"/>
        <v>0.438194444444444</v>
      </c>
      <c r="K14" s="74">
        <f t="shared" si="5"/>
        <v>0.47986111111111096</v>
      </c>
      <c r="L14" s="74">
        <f t="shared" si="5"/>
        <v>0.52152777777777792</v>
      </c>
      <c r="M14" s="74">
        <f t="shared" si="5"/>
        <v>0.563194444444444</v>
      </c>
      <c r="N14" s="74">
        <f t="shared" si="5"/>
        <v>0.60486111111111096</v>
      </c>
      <c r="O14" s="74">
        <f t="shared" si="5"/>
        <v>0.64652777777777792</v>
      </c>
      <c r="P14" s="74">
        <f t="shared" si="5"/>
        <v>0.688194444444444</v>
      </c>
      <c r="Q14" s="74">
        <f t="shared" si="5"/>
        <v>0.72986111111111096</v>
      </c>
      <c r="R14" s="74">
        <f t="shared" si="5"/>
        <v>0.77152777777777792</v>
      </c>
      <c r="S14" s="74">
        <f t="shared" si="5"/>
        <v>0.813194444444444</v>
      </c>
      <c r="T14" s="74">
        <f t="shared" si="5"/>
        <v>0.85486111111111096</v>
      </c>
      <c r="U14" s="74">
        <f t="shared" si="5"/>
        <v>0.89652777777777792</v>
      </c>
      <c r="V14" s="103">
        <f t="shared" si="6"/>
        <v>0.93611111111111067</v>
      </c>
    </row>
    <row r="15" spans="1:22" s="3" customFormat="1" ht="15" customHeight="1" x14ac:dyDescent="0.3">
      <c r="A15" s="102">
        <v>11</v>
      </c>
      <c r="B15" s="97" t="s">
        <v>74</v>
      </c>
      <c r="C15" s="96"/>
      <c r="D15" s="74">
        <f t="shared" ref="D15:D16" si="7">D14+"0:01"</f>
        <v>0.19722222222222219</v>
      </c>
      <c r="E15" s="74">
        <f t="shared" ref="E15:U15" si="8">E14+"0:01"</f>
        <v>0.23055555555555543</v>
      </c>
      <c r="F15" s="74">
        <f t="shared" si="8"/>
        <v>0.27222222222222242</v>
      </c>
      <c r="G15" s="74">
        <f t="shared" si="8"/>
        <v>0.31388888888888844</v>
      </c>
      <c r="H15" s="74">
        <f t="shared" si="8"/>
        <v>0.3555555555555554</v>
      </c>
      <c r="I15" s="74">
        <f t="shared" si="8"/>
        <v>0.39722222222222242</v>
      </c>
      <c r="J15" s="74">
        <f t="shared" si="8"/>
        <v>0.43888888888888844</v>
      </c>
      <c r="K15" s="74">
        <f t="shared" si="8"/>
        <v>0.4805555555555554</v>
      </c>
      <c r="L15" s="74">
        <f t="shared" si="8"/>
        <v>0.52222222222222237</v>
      </c>
      <c r="M15" s="74">
        <f t="shared" si="8"/>
        <v>0.56388888888888844</v>
      </c>
      <c r="N15" s="74">
        <f t="shared" si="8"/>
        <v>0.6055555555555554</v>
      </c>
      <c r="O15" s="74">
        <f t="shared" si="8"/>
        <v>0.64722222222222237</v>
      </c>
      <c r="P15" s="74">
        <f t="shared" si="8"/>
        <v>0.68888888888888844</v>
      </c>
      <c r="Q15" s="74">
        <f t="shared" si="8"/>
        <v>0.7305555555555554</v>
      </c>
      <c r="R15" s="74">
        <f t="shared" si="8"/>
        <v>0.77222222222222237</v>
      </c>
      <c r="S15" s="74">
        <f t="shared" si="8"/>
        <v>0.81388888888888844</v>
      </c>
      <c r="T15" s="74">
        <f t="shared" si="8"/>
        <v>0.8555555555555554</v>
      </c>
      <c r="U15" s="74">
        <f t="shared" si="8"/>
        <v>0.89722222222222237</v>
      </c>
      <c r="V15" s="103">
        <f t="shared" si="6"/>
        <v>0.93680555555555511</v>
      </c>
    </row>
    <row r="16" spans="1:22" s="3" customFormat="1" ht="15" customHeight="1" x14ac:dyDescent="0.3">
      <c r="A16" s="102">
        <v>12</v>
      </c>
      <c r="B16" s="97" t="s">
        <v>75</v>
      </c>
      <c r="C16" s="96"/>
      <c r="D16" s="74">
        <f t="shared" si="7"/>
        <v>0.19791666666666663</v>
      </c>
      <c r="E16" s="74">
        <f t="shared" ref="E16:U16" si="9">E15+"0:01"</f>
        <v>0.23124999999999987</v>
      </c>
      <c r="F16" s="74">
        <f t="shared" si="9"/>
        <v>0.27291666666666686</v>
      </c>
      <c r="G16" s="74">
        <f t="shared" si="9"/>
        <v>0.31458333333333288</v>
      </c>
      <c r="H16" s="74">
        <f t="shared" si="9"/>
        <v>0.35624999999999984</v>
      </c>
      <c r="I16" s="74">
        <f t="shared" si="9"/>
        <v>0.39791666666666686</v>
      </c>
      <c r="J16" s="74">
        <f t="shared" si="9"/>
        <v>0.43958333333333288</v>
      </c>
      <c r="K16" s="74">
        <f t="shared" si="9"/>
        <v>0.48124999999999984</v>
      </c>
      <c r="L16" s="74">
        <f t="shared" si="9"/>
        <v>0.52291666666666681</v>
      </c>
      <c r="M16" s="74">
        <f t="shared" si="9"/>
        <v>0.56458333333333288</v>
      </c>
      <c r="N16" s="74">
        <f t="shared" si="9"/>
        <v>0.60624999999999984</v>
      </c>
      <c r="O16" s="74">
        <f t="shared" si="9"/>
        <v>0.64791666666666681</v>
      </c>
      <c r="P16" s="74">
        <f t="shared" si="9"/>
        <v>0.68958333333333288</v>
      </c>
      <c r="Q16" s="74">
        <f t="shared" si="9"/>
        <v>0.73124999999999984</v>
      </c>
      <c r="R16" s="74">
        <f t="shared" si="9"/>
        <v>0.77291666666666681</v>
      </c>
      <c r="S16" s="74">
        <f t="shared" si="9"/>
        <v>0.81458333333333288</v>
      </c>
      <c r="T16" s="74">
        <f t="shared" si="9"/>
        <v>0.85624999999999984</v>
      </c>
      <c r="U16" s="74">
        <f t="shared" si="9"/>
        <v>0.89791666666666681</v>
      </c>
      <c r="V16" s="103">
        <f t="shared" si="6"/>
        <v>0.93749999999999956</v>
      </c>
    </row>
    <row r="17" spans="1:23" s="3" customFormat="1" ht="15" customHeight="1" x14ac:dyDescent="0.3">
      <c r="A17" s="102">
        <v>13</v>
      </c>
      <c r="B17" s="97" t="s">
        <v>78</v>
      </c>
      <c r="C17" s="96"/>
      <c r="D17" s="79" t="s">
        <v>14</v>
      </c>
      <c r="E17" s="79" t="s">
        <v>14</v>
      </c>
      <c r="F17" s="79" t="s">
        <v>14</v>
      </c>
      <c r="G17" s="79" t="s">
        <v>14</v>
      </c>
      <c r="H17" s="79" t="s">
        <v>14</v>
      </c>
      <c r="I17" s="79" t="s">
        <v>14</v>
      </c>
      <c r="J17" s="79" t="s">
        <v>14</v>
      </c>
      <c r="K17" s="79" t="s">
        <v>14</v>
      </c>
      <c r="L17" s="79" t="s">
        <v>14</v>
      </c>
      <c r="M17" s="79" t="s">
        <v>14</v>
      </c>
      <c r="N17" s="79" t="s">
        <v>14</v>
      </c>
      <c r="O17" s="79" t="s">
        <v>14</v>
      </c>
      <c r="P17" s="79" t="s">
        <v>14</v>
      </c>
      <c r="Q17" s="79" t="s">
        <v>14</v>
      </c>
      <c r="R17" s="79" t="s">
        <v>14</v>
      </c>
      <c r="S17" s="79" t="s">
        <v>14</v>
      </c>
      <c r="T17" s="79" t="s">
        <v>14</v>
      </c>
      <c r="U17" s="79" t="s">
        <v>14</v>
      </c>
      <c r="V17" s="140" t="s">
        <v>14</v>
      </c>
    </row>
    <row r="18" spans="1:23" s="3" customFormat="1" ht="15" customHeight="1" x14ac:dyDescent="0.3">
      <c r="A18" s="102">
        <v>14</v>
      </c>
      <c r="B18" s="97" t="s">
        <v>71</v>
      </c>
      <c r="C18" s="96"/>
      <c r="D18" s="79" t="s">
        <v>14</v>
      </c>
      <c r="E18" s="79" t="s">
        <v>14</v>
      </c>
      <c r="F18" s="79" t="s">
        <v>14</v>
      </c>
      <c r="G18" s="79" t="s">
        <v>14</v>
      </c>
      <c r="H18" s="79" t="s">
        <v>14</v>
      </c>
      <c r="I18" s="79" t="s">
        <v>14</v>
      </c>
      <c r="J18" s="79" t="s">
        <v>14</v>
      </c>
      <c r="K18" s="79" t="s">
        <v>14</v>
      </c>
      <c r="L18" s="79" t="s">
        <v>14</v>
      </c>
      <c r="M18" s="79" t="s">
        <v>14</v>
      </c>
      <c r="N18" s="79" t="s">
        <v>14</v>
      </c>
      <c r="O18" s="79" t="s">
        <v>14</v>
      </c>
      <c r="P18" s="79" t="s">
        <v>14</v>
      </c>
      <c r="Q18" s="79" t="s">
        <v>14</v>
      </c>
      <c r="R18" s="79" t="s">
        <v>14</v>
      </c>
      <c r="S18" s="79" t="s">
        <v>14</v>
      </c>
      <c r="T18" s="79" t="s">
        <v>14</v>
      </c>
      <c r="U18" s="79" t="s">
        <v>14</v>
      </c>
      <c r="V18" s="140" t="s">
        <v>14</v>
      </c>
    </row>
    <row r="19" spans="1:23" s="3" customFormat="1" ht="15" customHeight="1" x14ac:dyDescent="0.3">
      <c r="A19" s="102">
        <v>15</v>
      </c>
      <c r="B19" s="97" t="s">
        <v>72</v>
      </c>
      <c r="C19" s="96"/>
      <c r="D19" s="79" t="s">
        <v>14</v>
      </c>
      <c r="E19" s="79" t="s">
        <v>14</v>
      </c>
      <c r="F19" s="79" t="s">
        <v>14</v>
      </c>
      <c r="G19" s="79" t="s">
        <v>14</v>
      </c>
      <c r="H19" s="79" t="s">
        <v>14</v>
      </c>
      <c r="I19" s="79" t="s">
        <v>14</v>
      </c>
      <c r="J19" s="79" t="s">
        <v>14</v>
      </c>
      <c r="K19" s="79" t="s">
        <v>14</v>
      </c>
      <c r="L19" s="79" t="s">
        <v>14</v>
      </c>
      <c r="M19" s="79" t="s">
        <v>14</v>
      </c>
      <c r="N19" s="79" t="s">
        <v>14</v>
      </c>
      <c r="O19" s="79" t="s">
        <v>14</v>
      </c>
      <c r="P19" s="79" t="s">
        <v>14</v>
      </c>
      <c r="Q19" s="79" t="s">
        <v>14</v>
      </c>
      <c r="R19" s="79" t="s">
        <v>14</v>
      </c>
      <c r="S19" s="79" t="s">
        <v>14</v>
      </c>
      <c r="T19" s="79" t="s">
        <v>14</v>
      </c>
      <c r="U19" s="79" t="s">
        <v>14</v>
      </c>
      <c r="V19" s="140" t="s">
        <v>14</v>
      </c>
    </row>
    <row r="20" spans="1:23" s="3" customFormat="1" ht="15" customHeight="1" x14ac:dyDescent="0.3">
      <c r="A20" s="102">
        <v>16</v>
      </c>
      <c r="B20" s="97" t="s">
        <v>76</v>
      </c>
      <c r="C20" s="96"/>
      <c r="D20" s="79" t="s">
        <v>14</v>
      </c>
      <c r="E20" s="79" t="s">
        <v>14</v>
      </c>
      <c r="F20" s="79" t="s">
        <v>14</v>
      </c>
      <c r="G20" s="79" t="s">
        <v>14</v>
      </c>
      <c r="H20" s="79" t="s">
        <v>14</v>
      </c>
      <c r="I20" s="79" t="s">
        <v>14</v>
      </c>
      <c r="J20" s="79" t="s">
        <v>14</v>
      </c>
      <c r="K20" s="79" t="s">
        <v>14</v>
      </c>
      <c r="L20" s="79" t="s">
        <v>14</v>
      </c>
      <c r="M20" s="79" t="s">
        <v>14</v>
      </c>
      <c r="N20" s="79" t="s">
        <v>14</v>
      </c>
      <c r="O20" s="79" t="s">
        <v>14</v>
      </c>
      <c r="P20" s="79" t="s">
        <v>14</v>
      </c>
      <c r="Q20" s="79" t="s">
        <v>14</v>
      </c>
      <c r="R20" s="79" t="s">
        <v>14</v>
      </c>
      <c r="S20" s="79" t="s">
        <v>14</v>
      </c>
      <c r="T20" s="79" t="s">
        <v>14</v>
      </c>
      <c r="U20" s="79" t="s">
        <v>14</v>
      </c>
      <c r="V20" s="140" t="s">
        <v>14</v>
      </c>
    </row>
    <row r="21" spans="1:23" s="3" customFormat="1" ht="15" customHeight="1" thickBot="1" x14ac:dyDescent="0.35">
      <c r="A21" s="104">
        <v>17</v>
      </c>
      <c r="B21" s="105" t="s">
        <v>77</v>
      </c>
      <c r="C21" s="106" t="s">
        <v>84</v>
      </c>
      <c r="D21" s="107">
        <f>D16+"0:02"</f>
        <v>0.19930555555555551</v>
      </c>
      <c r="E21" s="107">
        <f t="shared" ref="E21:U21" si="10">E16+"0:02"</f>
        <v>0.23263888888888876</v>
      </c>
      <c r="F21" s="107">
        <f t="shared" si="10"/>
        <v>0.27430555555555575</v>
      </c>
      <c r="G21" s="107">
        <f t="shared" si="10"/>
        <v>0.31597222222222177</v>
      </c>
      <c r="H21" s="107">
        <f t="shared" si="10"/>
        <v>0.35763888888888873</v>
      </c>
      <c r="I21" s="107">
        <f t="shared" si="10"/>
        <v>0.39930555555555575</v>
      </c>
      <c r="J21" s="107">
        <f t="shared" si="10"/>
        <v>0.44097222222222177</v>
      </c>
      <c r="K21" s="107">
        <f t="shared" si="10"/>
        <v>0.48263888888888873</v>
      </c>
      <c r="L21" s="107">
        <f t="shared" si="10"/>
        <v>0.52430555555555569</v>
      </c>
      <c r="M21" s="107">
        <f t="shared" si="10"/>
        <v>0.56597222222222177</v>
      </c>
      <c r="N21" s="107">
        <f t="shared" si="10"/>
        <v>0.60763888888888873</v>
      </c>
      <c r="O21" s="107">
        <f t="shared" si="10"/>
        <v>0.64930555555555569</v>
      </c>
      <c r="P21" s="107">
        <f t="shared" si="10"/>
        <v>0.69097222222222177</v>
      </c>
      <c r="Q21" s="107">
        <f t="shared" si="10"/>
        <v>0.73263888888888873</v>
      </c>
      <c r="R21" s="107">
        <f t="shared" si="10"/>
        <v>0.77430555555555569</v>
      </c>
      <c r="S21" s="107">
        <f t="shared" si="10"/>
        <v>0.81597222222222177</v>
      </c>
      <c r="T21" s="107">
        <f t="shared" si="10"/>
        <v>0.85763888888888873</v>
      </c>
      <c r="U21" s="107">
        <f t="shared" si="10"/>
        <v>0.89930555555555569</v>
      </c>
      <c r="V21" s="108">
        <f t="shared" ref="V21" si="11">V16+"0:02"</f>
        <v>0.93888888888888844</v>
      </c>
    </row>
    <row r="22" spans="1:23" s="29" customFormat="1" ht="13.8" thickBot="1" x14ac:dyDescent="0.35">
      <c r="B22" s="13" t="s">
        <v>2</v>
      </c>
      <c r="C22" s="35"/>
      <c r="D22" s="85">
        <v>4.2</v>
      </c>
      <c r="E22" s="85">
        <v>4.2</v>
      </c>
      <c r="F22" s="85">
        <v>4.2</v>
      </c>
      <c r="G22" s="85">
        <v>4.2</v>
      </c>
      <c r="H22" s="85">
        <v>4.2</v>
      </c>
      <c r="I22" s="85">
        <v>4.2</v>
      </c>
      <c r="J22" s="85">
        <v>4.2</v>
      </c>
      <c r="K22" s="85">
        <v>4.2</v>
      </c>
      <c r="L22" s="85">
        <v>4.2</v>
      </c>
      <c r="M22" s="85">
        <v>4.2</v>
      </c>
      <c r="N22" s="85">
        <v>4.2</v>
      </c>
      <c r="O22" s="85">
        <v>4.2</v>
      </c>
      <c r="P22" s="85">
        <v>4.2</v>
      </c>
      <c r="Q22" s="85">
        <v>4.2</v>
      </c>
      <c r="R22" s="85">
        <v>4.2</v>
      </c>
      <c r="S22" s="85">
        <v>4.2</v>
      </c>
      <c r="T22" s="85">
        <v>4.2</v>
      </c>
      <c r="U22" s="85">
        <v>4.2</v>
      </c>
      <c r="V22" s="85">
        <v>4.2</v>
      </c>
      <c r="W22" s="37">
        <f>SUM(D22:V22)</f>
        <v>79.800000000000026</v>
      </c>
    </row>
    <row r="23" spans="1:23" s="29" customFormat="1" x14ac:dyDescent="0.3">
      <c r="B23" s="184"/>
      <c r="C23" s="35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185"/>
    </row>
    <row r="24" spans="1:23" s="29" customFormat="1" x14ac:dyDescent="0.3">
      <c r="B24" s="184"/>
      <c r="C24" s="35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185"/>
    </row>
    <row r="25" spans="1:23" s="29" customFormat="1" x14ac:dyDescent="0.3">
      <c r="B25" s="184"/>
      <c r="C25" s="35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185"/>
    </row>
    <row r="26" spans="1:23" s="29" customFormat="1" x14ac:dyDescent="0.3">
      <c r="B26" s="184"/>
      <c r="C26" s="35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185"/>
    </row>
    <row r="27" spans="1:23" s="29" customFormat="1" x14ac:dyDescent="0.3">
      <c r="B27" s="184"/>
      <c r="C27" s="35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185"/>
    </row>
    <row r="28" spans="1:23" s="29" customFormat="1" x14ac:dyDescent="0.3">
      <c r="B28" s="184"/>
      <c r="C28" s="35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185"/>
    </row>
    <row r="29" spans="1:23" s="29" customFormat="1" x14ac:dyDescent="0.3">
      <c r="B29" s="184"/>
      <c r="C29" s="35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185"/>
    </row>
    <row r="30" spans="1:23" s="29" customFormat="1" x14ac:dyDescent="0.3">
      <c r="B30" s="184"/>
      <c r="C30" s="35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185"/>
    </row>
    <row r="31" spans="1:23" s="29" customFormat="1" x14ac:dyDescent="0.3">
      <c r="B31" s="184"/>
      <c r="C31" s="35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185"/>
    </row>
    <row r="32" spans="1:23" s="29" customFormat="1" x14ac:dyDescent="0.3">
      <c r="B32" s="184"/>
      <c r="C32" s="35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185"/>
    </row>
    <row r="33" spans="1:23" s="29" customFormat="1" x14ac:dyDescent="0.3">
      <c r="B33" s="184"/>
      <c r="C33" s="35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185"/>
    </row>
    <row r="34" spans="1:23" s="29" customFormat="1" x14ac:dyDescent="0.3">
      <c r="B34" s="184"/>
      <c r="C34" s="35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185"/>
    </row>
    <row r="35" spans="1:23" s="29" customFormat="1" x14ac:dyDescent="0.3">
      <c r="B35" s="184"/>
      <c r="C35" s="35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185"/>
    </row>
    <row r="36" spans="1:23" s="29" customFormat="1" x14ac:dyDescent="0.3">
      <c r="B36" s="184"/>
      <c r="C36" s="35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185"/>
    </row>
    <row r="37" spans="1:23" s="29" customFormat="1" x14ac:dyDescent="0.3">
      <c r="B37" s="184"/>
      <c r="C37" s="35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185"/>
    </row>
    <row r="38" spans="1:23" s="29" customFormat="1" x14ac:dyDescent="0.3">
      <c r="B38" s="184"/>
      <c r="C38" s="35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185"/>
    </row>
    <row r="39" spans="1:23" s="3" customFormat="1" ht="48" customHeight="1" x14ac:dyDescent="0.3"/>
    <row r="40" spans="1:23" s="3" customFormat="1" ht="13.8" customHeight="1" x14ac:dyDescent="0.3"/>
    <row r="41" spans="1:23" s="51" customFormat="1" ht="18" customHeight="1" x14ac:dyDescent="0.3">
      <c r="A41" s="6" t="s">
        <v>9</v>
      </c>
      <c r="B41" s="6"/>
      <c r="C41" s="6" t="s">
        <v>87</v>
      </c>
    </row>
    <row r="42" spans="1:23" s="18" customFormat="1" ht="18" customHeight="1" x14ac:dyDescent="0.3">
      <c r="A42" s="8"/>
      <c r="B42" s="8"/>
      <c r="C42" s="38"/>
    </row>
    <row r="43" spans="1:23" s="18" customFormat="1" ht="15" customHeight="1" thickBot="1" x14ac:dyDescent="0.35">
      <c r="A43" s="8"/>
      <c r="B43" s="66" t="s">
        <v>15</v>
      </c>
      <c r="C43" s="18" t="s">
        <v>5</v>
      </c>
    </row>
    <row r="44" spans="1:23" s="18" customFormat="1" ht="15" customHeight="1" x14ac:dyDescent="0.3">
      <c r="A44" s="135" t="s">
        <v>1</v>
      </c>
      <c r="B44" s="110"/>
      <c r="C44" s="136"/>
      <c r="D44" s="136">
        <v>2</v>
      </c>
      <c r="E44" s="136">
        <f>D44+2</f>
        <v>4</v>
      </c>
      <c r="F44" s="136">
        <f t="shared" ref="F44:V44" si="12">E44+2</f>
        <v>6</v>
      </c>
      <c r="G44" s="136">
        <f t="shared" si="12"/>
        <v>8</v>
      </c>
      <c r="H44" s="136">
        <f t="shared" si="12"/>
        <v>10</v>
      </c>
      <c r="I44" s="136">
        <f t="shared" si="12"/>
        <v>12</v>
      </c>
      <c r="J44" s="136">
        <f t="shared" si="12"/>
        <v>14</v>
      </c>
      <c r="K44" s="136">
        <f t="shared" si="12"/>
        <v>16</v>
      </c>
      <c r="L44" s="136">
        <f t="shared" si="12"/>
        <v>18</v>
      </c>
      <c r="M44" s="136">
        <f t="shared" si="12"/>
        <v>20</v>
      </c>
      <c r="N44" s="136">
        <f t="shared" si="12"/>
        <v>22</v>
      </c>
      <c r="O44" s="136">
        <f t="shared" si="12"/>
        <v>24</v>
      </c>
      <c r="P44" s="136">
        <f t="shared" si="12"/>
        <v>26</v>
      </c>
      <c r="Q44" s="136">
        <f t="shared" si="12"/>
        <v>28</v>
      </c>
      <c r="R44" s="136">
        <f t="shared" si="12"/>
        <v>30</v>
      </c>
      <c r="S44" s="136">
        <f t="shared" si="12"/>
        <v>32</v>
      </c>
      <c r="T44" s="136">
        <f t="shared" si="12"/>
        <v>34</v>
      </c>
      <c r="U44" s="136">
        <f t="shared" si="12"/>
        <v>36</v>
      </c>
      <c r="V44" s="139">
        <f t="shared" si="12"/>
        <v>38</v>
      </c>
    </row>
    <row r="45" spans="1:23" s="18" customFormat="1" ht="15" customHeight="1" x14ac:dyDescent="0.3">
      <c r="A45" s="114">
        <v>17</v>
      </c>
      <c r="B45" s="95" t="s">
        <v>77</v>
      </c>
      <c r="C45" s="60" t="s">
        <v>83</v>
      </c>
      <c r="D45" s="81">
        <v>0.19930555555555601</v>
      </c>
      <c r="E45" s="81">
        <v>0.24097222222222223</v>
      </c>
      <c r="F45" s="81">
        <v>0.28263888888888899</v>
      </c>
      <c r="G45" s="81">
        <v>0.32430555555555601</v>
      </c>
      <c r="H45" s="81">
        <v>0.36597222222222198</v>
      </c>
      <c r="I45" s="81">
        <v>0.40763888888888899</v>
      </c>
      <c r="J45" s="81">
        <v>0.44930555555555601</v>
      </c>
      <c r="K45" s="81">
        <v>0.49097222222222198</v>
      </c>
      <c r="L45" s="81">
        <v>0.53263888888888899</v>
      </c>
      <c r="M45" s="81">
        <v>0.57430555555555596</v>
      </c>
      <c r="N45" s="81">
        <v>0.61597222222222203</v>
      </c>
      <c r="O45" s="81">
        <v>0.65763888888888899</v>
      </c>
      <c r="P45" s="81">
        <v>0.69930555555555596</v>
      </c>
      <c r="Q45" s="81">
        <v>0.74097222222222203</v>
      </c>
      <c r="R45" s="81">
        <v>0.78263888888888899</v>
      </c>
      <c r="S45" s="81">
        <v>0.82430555555555596</v>
      </c>
      <c r="T45" s="81">
        <v>0.86597222222222203</v>
      </c>
      <c r="U45" s="81">
        <v>0.90763888888888899</v>
      </c>
      <c r="V45" s="138">
        <v>0.93888888888888899</v>
      </c>
    </row>
    <row r="46" spans="1:23" s="18" customFormat="1" ht="15" customHeight="1" x14ac:dyDescent="0.3">
      <c r="A46" s="114">
        <v>16</v>
      </c>
      <c r="B46" s="95" t="s">
        <v>76</v>
      </c>
      <c r="C46" s="60"/>
      <c r="D46" s="74">
        <f>D45+"0:01"</f>
        <v>0.20000000000000046</v>
      </c>
      <c r="E46" s="74">
        <f>E45+"0:01"</f>
        <v>0.24166666666666667</v>
      </c>
      <c r="F46" s="74">
        <f t="shared" ref="F46:U46" si="13">F45+"0:01"</f>
        <v>0.28333333333333344</v>
      </c>
      <c r="G46" s="74">
        <f t="shared" si="13"/>
        <v>0.32500000000000046</v>
      </c>
      <c r="H46" s="74">
        <f t="shared" si="13"/>
        <v>0.36666666666666642</v>
      </c>
      <c r="I46" s="74">
        <f t="shared" si="13"/>
        <v>0.40833333333333344</v>
      </c>
      <c r="J46" s="74">
        <f t="shared" si="13"/>
        <v>0.45000000000000046</v>
      </c>
      <c r="K46" s="74">
        <f t="shared" si="13"/>
        <v>0.49166666666666642</v>
      </c>
      <c r="L46" s="74">
        <f t="shared" si="13"/>
        <v>0.53333333333333344</v>
      </c>
      <c r="M46" s="74">
        <f t="shared" si="13"/>
        <v>0.5750000000000004</v>
      </c>
      <c r="N46" s="74">
        <f t="shared" si="13"/>
        <v>0.61666666666666647</v>
      </c>
      <c r="O46" s="74">
        <f t="shared" si="13"/>
        <v>0.65833333333333344</v>
      </c>
      <c r="P46" s="74">
        <f t="shared" si="13"/>
        <v>0.7000000000000004</v>
      </c>
      <c r="Q46" s="74">
        <f t="shared" si="13"/>
        <v>0.74166666666666647</v>
      </c>
      <c r="R46" s="74">
        <f t="shared" si="13"/>
        <v>0.78333333333333344</v>
      </c>
      <c r="S46" s="74">
        <f t="shared" si="13"/>
        <v>0.8250000000000004</v>
      </c>
      <c r="T46" s="74">
        <f t="shared" si="13"/>
        <v>0.86666666666666647</v>
      </c>
      <c r="U46" s="74">
        <f t="shared" si="13"/>
        <v>0.90833333333333344</v>
      </c>
      <c r="V46" s="103">
        <f t="shared" ref="V46" si="14">V45+"0:01"</f>
        <v>0.93958333333333344</v>
      </c>
    </row>
    <row r="47" spans="1:23" s="18" customFormat="1" ht="15" customHeight="1" x14ac:dyDescent="0.3">
      <c r="A47" s="114">
        <v>15</v>
      </c>
      <c r="B47" s="95" t="s">
        <v>72</v>
      </c>
      <c r="C47" s="60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103"/>
    </row>
    <row r="48" spans="1:23" s="18" customFormat="1" ht="15" customHeight="1" x14ac:dyDescent="0.3">
      <c r="A48" s="114">
        <v>14</v>
      </c>
      <c r="B48" s="95" t="s">
        <v>71</v>
      </c>
      <c r="C48" s="60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103"/>
    </row>
    <row r="49" spans="1:25" s="18" customFormat="1" ht="15" customHeight="1" x14ac:dyDescent="0.3">
      <c r="A49" s="114">
        <v>13</v>
      </c>
      <c r="B49" s="95" t="s">
        <v>78</v>
      </c>
      <c r="C49" s="60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103"/>
    </row>
    <row r="50" spans="1:25" s="18" customFormat="1" ht="15" customHeight="1" x14ac:dyDescent="0.3">
      <c r="A50" s="114">
        <v>12</v>
      </c>
      <c r="B50" s="95" t="s">
        <v>75</v>
      </c>
      <c r="C50" s="60"/>
      <c r="D50" s="81">
        <f>D46+"0:01"</f>
        <v>0.2006944444444449</v>
      </c>
      <c r="E50" s="81">
        <f>E46+"0:01"</f>
        <v>0.24236111111111111</v>
      </c>
      <c r="F50" s="81">
        <f t="shared" ref="F50:T50" si="15">F46+"0:01"</f>
        <v>0.28402777777777788</v>
      </c>
      <c r="G50" s="81">
        <f t="shared" si="15"/>
        <v>0.3256944444444449</v>
      </c>
      <c r="H50" s="81">
        <f t="shared" si="15"/>
        <v>0.36736111111111086</v>
      </c>
      <c r="I50" s="81">
        <f t="shared" si="15"/>
        <v>0.40902777777777788</v>
      </c>
      <c r="J50" s="81">
        <f t="shared" si="15"/>
        <v>0.4506944444444449</v>
      </c>
      <c r="K50" s="81">
        <f t="shared" si="15"/>
        <v>0.49236111111111086</v>
      </c>
      <c r="L50" s="81">
        <f t="shared" si="15"/>
        <v>0.53402777777777788</v>
      </c>
      <c r="M50" s="81">
        <f t="shared" si="15"/>
        <v>0.57569444444444484</v>
      </c>
      <c r="N50" s="81">
        <f t="shared" si="15"/>
        <v>0.61736111111111092</v>
      </c>
      <c r="O50" s="81">
        <f t="shared" si="15"/>
        <v>0.65902777777777788</v>
      </c>
      <c r="P50" s="81">
        <f t="shared" si="15"/>
        <v>0.70069444444444484</v>
      </c>
      <c r="Q50" s="81">
        <f t="shared" si="15"/>
        <v>0.74236111111111092</v>
      </c>
      <c r="R50" s="81">
        <f t="shared" si="15"/>
        <v>0.78402777777777788</v>
      </c>
      <c r="S50" s="81">
        <f t="shared" si="15"/>
        <v>0.82569444444444484</v>
      </c>
      <c r="T50" s="81">
        <f t="shared" si="15"/>
        <v>0.86736111111111092</v>
      </c>
      <c r="U50" s="81">
        <f t="shared" ref="U50:V50" si="16">U46+"0:01"</f>
        <v>0.90902777777777788</v>
      </c>
      <c r="V50" s="138">
        <f t="shared" si="16"/>
        <v>0.94027777777777788</v>
      </c>
    </row>
    <row r="51" spans="1:25" s="18" customFormat="1" ht="15" customHeight="1" x14ac:dyDescent="0.3">
      <c r="A51" s="114">
        <v>11</v>
      </c>
      <c r="B51" s="95" t="s">
        <v>74</v>
      </c>
      <c r="C51" s="60"/>
      <c r="D51" s="74">
        <f>D50+"0:01"</f>
        <v>0.20138888888888934</v>
      </c>
      <c r="E51" s="74">
        <f>E50+"0:01"</f>
        <v>0.24305555555555555</v>
      </c>
      <c r="F51" s="74">
        <f t="shared" ref="F51:U51" si="17">F50+"0:01"</f>
        <v>0.28472222222222232</v>
      </c>
      <c r="G51" s="74">
        <f t="shared" si="17"/>
        <v>0.32638888888888934</v>
      </c>
      <c r="H51" s="74">
        <f t="shared" si="17"/>
        <v>0.3680555555555553</v>
      </c>
      <c r="I51" s="74">
        <f t="shared" si="17"/>
        <v>0.40972222222222232</v>
      </c>
      <c r="J51" s="74">
        <f t="shared" si="17"/>
        <v>0.45138888888888934</v>
      </c>
      <c r="K51" s="74">
        <f t="shared" si="17"/>
        <v>0.4930555555555553</v>
      </c>
      <c r="L51" s="74">
        <f t="shared" si="17"/>
        <v>0.53472222222222232</v>
      </c>
      <c r="M51" s="74">
        <f t="shared" si="17"/>
        <v>0.57638888888888928</v>
      </c>
      <c r="N51" s="74">
        <f t="shared" si="17"/>
        <v>0.61805555555555536</v>
      </c>
      <c r="O51" s="74">
        <f t="shared" si="17"/>
        <v>0.65972222222222232</v>
      </c>
      <c r="P51" s="74">
        <f t="shared" si="17"/>
        <v>0.70138888888888928</v>
      </c>
      <c r="Q51" s="74">
        <f t="shared" si="17"/>
        <v>0.74305555555555536</v>
      </c>
      <c r="R51" s="74">
        <f t="shared" si="17"/>
        <v>0.78472222222222232</v>
      </c>
      <c r="S51" s="74">
        <f t="shared" si="17"/>
        <v>0.82638888888888928</v>
      </c>
      <c r="T51" s="74">
        <f t="shared" si="17"/>
        <v>0.86805555555555536</v>
      </c>
      <c r="U51" s="74">
        <f t="shared" si="17"/>
        <v>0.90972222222222232</v>
      </c>
      <c r="V51" s="103">
        <f t="shared" ref="V51" si="18">V50+"0:01"</f>
        <v>0.94097222222222232</v>
      </c>
    </row>
    <row r="52" spans="1:25" s="18" customFormat="1" ht="15" customHeight="1" x14ac:dyDescent="0.3">
      <c r="A52" s="114">
        <v>10</v>
      </c>
      <c r="B52" s="95" t="s">
        <v>73</v>
      </c>
      <c r="C52" s="60"/>
      <c r="D52" s="74">
        <f>D51+"0:02"</f>
        <v>0.20277777777777822</v>
      </c>
      <c r="E52" s="74">
        <f>E51+"0:02"</f>
        <v>0.24444444444444444</v>
      </c>
      <c r="F52" s="74">
        <f t="shared" ref="F52:U52" si="19">F51+"0:02"</f>
        <v>0.2861111111111112</v>
      </c>
      <c r="G52" s="74">
        <f t="shared" si="19"/>
        <v>0.32777777777777822</v>
      </c>
      <c r="H52" s="74">
        <f t="shared" si="19"/>
        <v>0.36944444444444419</v>
      </c>
      <c r="I52" s="74">
        <f t="shared" si="19"/>
        <v>0.4111111111111112</v>
      </c>
      <c r="J52" s="74">
        <f t="shared" si="19"/>
        <v>0.45277777777777822</v>
      </c>
      <c r="K52" s="74">
        <f t="shared" si="19"/>
        <v>0.49444444444444419</v>
      </c>
      <c r="L52" s="74">
        <f t="shared" si="19"/>
        <v>0.5361111111111112</v>
      </c>
      <c r="M52" s="74">
        <f t="shared" si="19"/>
        <v>0.57777777777777817</v>
      </c>
      <c r="N52" s="74">
        <f t="shared" si="19"/>
        <v>0.61944444444444424</v>
      </c>
      <c r="O52" s="74">
        <f t="shared" si="19"/>
        <v>0.6611111111111112</v>
      </c>
      <c r="P52" s="74">
        <f t="shared" si="19"/>
        <v>0.70277777777777817</v>
      </c>
      <c r="Q52" s="74">
        <f t="shared" si="19"/>
        <v>0.74444444444444424</v>
      </c>
      <c r="R52" s="74">
        <f t="shared" si="19"/>
        <v>0.7861111111111112</v>
      </c>
      <c r="S52" s="74">
        <f t="shared" si="19"/>
        <v>0.82777777777777817</v>
      </c>
      <c r="T52" s="74">
        <f t="shared" si="19"/>
        <v>0.86944444444444424</v>
      </c>
      <c r="U52" s="74">
        <f t="shared" si="19"/>
        <v>0.9111111111111112</v>
      </c>
      <c r="V52" s="103">
        <f t="shared" ref="V52" si="20">V51+"0:02"</f>
        <v>0.9423611111111112</v>
      </c>
    </row>
    <row r="53" spans="1:25" s="18" customFormat="1" ht="15" customHeight="1" x14ac:dyDescent="0.3">
      <c r="A53" s="114">
        <v>9</v>
      </c>
      <c r="B53" s="95" t="s">
        <v>20</v>
      </c>
      <c r="C53" s="60"/>
      <c r="D53" s="74">
        <f t="shared" ref="D53:E53" si="21">D52+"0:02"</f>
        <v>0.20416666666666711</v>
      </c>
      <c r="E53" s="74">
        <f t="shared" si="21"/>
        <v>0.24583333333333332</v>
      </c>
      <c r="F53" s="74">
        <f t="shared" ref="F53:T53" si="22">F52+"0:02"</f>
        <v>0.28750000000000009</v>
      </c>
      <c r="G53" s="74">
        <f t="shared" si="22"/>
        <v>0.32916666666666711</v>
      </c>
      <c r="H53" s="74">
        <f t="shared" si="22"/>
        <v>0.37083333333333307</v>
      </c>
      <c r="I53" s="74">
        <f t="shared" si="22"/>
        <v>0.41250000000000009</v>
      </c>
      <c r="J53" s="74">
        <f t="shared" si="22"/>
        <v>0.45416666666666711</v>
      </c>
      <c r="K53" s="74">
        <f t="shared" si="22"/>
        <v>0.49583333333333307</v>
      </c>
      <c r="L53" s="74">
        <f t="shared" si="22"/>
        <v>0.53750000000000009</v>
      </c>
      <c r="M53" s="74">
        <f t="shared" si="22"/>
        <v>0.57916666666666705</v>
      </c>
      <c r="N53" s="74">
        <f t="shared" si="22"/>
        <v>0.62083333333333313</v>
      </c>
      <c r="O53" s="74">
        <f t="shared" si="22"/>
        <v>0.66250000000000009</v>
      </c>
      <c r="P53" s="74">
        <f t="shared" si="22"/>
        <v>0.70416666666666705</v>
      </c>
      <c r="Q53" s="74">
        <f t="shared" si="22"/>
        <v>0.74583333333333313</v>
      </c>
      <c r="R53" s="74">
        <f t="shared" si="22"/>
        <v>0.78750000000000009</v>
      </c>
      <c r="S53" s="74">
        <f t="shared" si="22"/>
        <v>0.82916666666666705</v>
      </c>
      <c r="T53" s="74">
        <f t="shared" si="22"/>
        <v>0.87083333333333313</v>
      </c>
      <c r="U53" s="74">
        <f t="shared" ref="U53:V53" si="23">U52+"0:02"</f>
        <v>0.91250000000000009</v>
      </c>
      <c r="V53" s="103">
        <f t="shared" si="23"/>
        <v>0.94375000000000009</v>
      </c>
    </row>
    <row r="54" spans="1:25" s="18" customFormat="1" ht="15" customHeight="1" x14ac:dyDescent="0.3">
      <c r="A54" s="114">
        <v>8</v>
      </c>
      <c r="B54" s="95" t="s">
        <v>28</v>
      </c>
      <c r="C54" s="60"/>
      <c r="D54" s="74">
        <f t="shared" ref="D54:E54" si="24">D53+"0:01"</f>
        <v>0.20486111111111155</v>
      </c>
      <c r="E54" s="74">
        <f t="shared" si="24"/>
        <v>0.24652777777777776</v>
      </c>
      <c r="F54" s="74">
        <f t="shared" ref="F54:T54" si="25">F53+"0:01"</f>
        <v>0.28819444444444453</v>
      </c>
      <c r="G54" s="74">
        <f t="shared" si="25"/>
        <v>0.32986111111111155</v>
      </c>
      <c r="H54" s="74">
        <f t="shared" si="25"/>
        <v>0.37152777777777751</v>
      </c>
      <c r="I54" s="74">
        <f t="shared" si="25"/>
        <v>0.41319444444444453</v>
      </c>
      <c r="J54" s="74">
        <f t="shared" si="25"/>
        <v>0.45486111111111155</v>
      </c>
      <c r="K54" s="74">
        <f t="shared" si="25"/>
        <v>0.49652777777777751</v>
      </c>
      <c r="L54" s="74">
        <f t="shared" si="25"/>
        <v>0.53819444444444453</v>
      </c>
      <c r="M54" s="74">
        <f t="shared" si="25"/>
        <v>0.57986111111111149</v>
      </c>
      <c r="N54" s="74">
        <f t="shared" si="25"/>
        <v>0.62152777777777757</v>
      </c>
      <c r="O54" s="74">
        <f t="shared" si="25"/>
        <v>0.66319444444444453</v>
      </c>
      <c r="P54" s="74">
        <f t="shared" si="25"/>
        <v>0.70486111111111149</v>
      </c>
      <c r="Q54" s="74">
        <f t="shared" si="25"/>
        <v>0.74652777777777757</v>
      </c>
      <c r="R54" s="74">
        <f t="shared" si="25"/>
        <v>0.78819444444444453</v>
      </c>
      <c r="S54" s="74">
        <f t="shared" si="25"/>
        <v>0.82986111111111149</v>
      </c>
      <c r="T54" s="74">
        <f t="shared" si="25"/>
        <v>0.87152777777777757</v>
      </c>
      <c r="U54" s="74">
        <f t="shared" ref="U54:V54" si="26">U53+"0:01"</f>
        <v>0.91319444444444453</v>
      </c>
      <c r="V54" s="103">
        <f t="shared" si="26"/>
        <v>0.94444444444444453</v>
      </c>
    </row>
    <row r="55" spans="1:25" s="18" customFormat="1" ht="15" customHeight="1" x14ac:dyDescent="0.3">
      <c r="A55" s="114">
        <v>7</v>
      </c>
      <c r="B55" s="95" t="s">
        <v>44</v>
      </c>
      <c r="C55" s="60"/>
      <c r="D55" s="74">
        <f t="shared" ref="D55:E55" si="27">D54+"0:02"</f>
        <v>0.20625000000000043</v>
      </c>
      <c r="E55" s="74">
        <f t="shared" si="27"/>
        <v>0.24791666666666665</v>
      </c>
      <c r="F55" s="74">
        <f t="shared" ref="F55:T55" si="28">F54+"0:02"</f>
        <v>0.28958333333333341</v>
      </c>
      <c r="G55" s="74">
        <f t="shared" si="28"/>
        <v>0.33125000000000043</v>
      </c>
      <c r="H55" s="74">
        <f t="shared" si="28"/>
        <v>0.3729166666666664</v>
      </c>
      <c r="I55" s="74">
        <f t="shared" si="28"/>
        <v>0.41458333333333341</v>
      </c>
      <c r="J55" s="74">
        <f t="shared" si="28"/>
        <v>0.45625000000000043</v>
      </c>
      <c r="K55" s="74">
        <f t="shared" si="28"/>
        <v>0.4979166666666664</v>
      </c>
      <c r="L55" s="74">
        <f t="shared" si="28"/>
        <v>0.53958333333333341</v>
      </c>
      <c r="M55" s="74">
        <f t="shared" si="28"/>
        <v>0.58125000000000038</v>
      </c>
      <c r="N55" s="74">
        <f t="shared" si="28"/>
        <v>0.62291666666666645</v>
      </c>
      <c r="O55" s="74">
        <f t="shared" si="28"/>
        <v>0.66458333333333341</v>
      </c>
      <c r="P55" s="74">
        <f t="shared" si="28"/>
        <v>0.70625000000000038</v>
      </c>
      <c r="Q55" s="74">
        <f t="shared" si="28"/>
        <v>0.74791666666666645</v>
      </c>
      <c r="R55" s="74">
        <f t="shared" si="28"/>
        <v>0.78958333333333341</v>
      </c>
      <c r="S55" s="74">
        <f t="shared" si="28"/>
        <v>0.83125000000000038</v>
      </c>
      <c r="T55" s="74">
        <f t="shared" si="28"/>
        <v>0.87291666666666645</v>
      </c>
      <c r="U55" s="74">
        <f t="shared" ref="U55:V55" si="29">U54+"0:02"</f>
        <v>0.91458333333333341</v>
      </c>
      <c r="V55" s="103">
        <f t="shared" si="29"/>
        <v>0.94583333333333341</v>
      </c>
    </row>
    <row r="56" spans="1:25" s="18" customFormat="1" ht="15" customHeight="1" x14ac:dyDescent="0.3">
      <c r="A56" s="114">
        <v>6</v>
      </c>
      <c r="B56" s="97" t="s">
        <v>97</v>
      </c>
      <c r="C56" s="60"/>
      <c r="D56" s="74">
        <f t="shared" ref="D56:E56" si="30">D55+"0:03"</f>
        <v>0.20833333333333376</v>
      </c>
      <c r="E56" s="74">
        <f t="shared" si="30"/>
        <v>0.24999999999999997</v>
      </c>
      <c r="F56" s="74">
        <f t="shared" ref="F56:T56" si="31">F55+"0:03"</f>
        <v>0.29166666666666674</v>
      </c>
      <c r="G56" s="74">
        <f t="shared" si="31"/>
        <v>0.33333333333333376</v>
      </c>
      <c r="H56" s="74">
        <f t="shared" si="31"/>
        <v>0.37499999999999972</v>
      </c>
      <c r="I56" s="74">
        <f t="shared" si="31"/>
        <v>0.41666666666666674</v>
      </c>
      <c r="J56" s="74">
        <f t="shared" si="31"/>
        <v>0.45833333333333376</v>
      </c>
      <c r="K56" s="74">
        <f t="shared" si="31"/>
        <v>0.49999999999999972</v>
      </c>
      <c r="L56" s="74">
        <f t="shared" si="31"/>
        <v>0.54166666666666674</v>
      </c>
      <c r="M56" s="74">
        <f t="shared" si="31"/>
        <v>0.5833333333333337</v>
      </c>
      <c r="N56" s="74">
        <f t="shared" si="31"/>
        <v>0.62499999999999978</v>
      </c>
      <c r="O56" s="74">
        <f t="shared" si="31"/>
        <v>0.66666666666666674</v>
      </c>
      <c r="P56" s="74">
        <f t="shared" si="31"/>
        <v>0.7083333333333337</v>
      </c>
      <c r="Q56" s="74">
        <f t="shared" si="31"/>
        <v>0.74999999999999978</v>
      </c>
      <c r="R56" s="74">
        <f t="shared" si="31"/>
        <v>0.79166666666666674</v>
      </c>
      <c r="S56" s="74">
        <f t="shared" si="31"/>
        <v>0.8333333333333337</v>
      </c>
      <c r="T56" s="74">
        <f t="shared" si="31"/>
        <v>0.87499999999999978</v>
      </c>
      <c r="U56" s="74">
        <f t="shared" ref="U56:V56" si="32">U55+"0:03"</f>
        <v>0.91666666666666674</v>
      </c>
      <c r="V56" s="103">
        <f t="shared" si="32"/>
        <v>0.94791666666666674</v>
      </c>
    </row>
    <row r="57" spans="1:25" s="18" customFormat="1" ht="15" customHeight="1" x14ac:dyDescent="0.3">
      <c r="A57" s="114">
        <v>5</v>
      </c>
      <c r="B57" s="95" t="s">
        <v>40</v>
      </c>
      <c r="C57" s="60"/>
      <c r="D57" s="60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103"/>
    </row>
    <row r="58" spans="1:25" s="18" customFormat="1" ht="15" customHeight="1" x14ac:dyDescent="0.3">
      <c r="A58" s="114">
        <v>3</v>
      </c>
      <c r="B58" s="95" t="s">
        <v>43</v>
      </c>
      <c r="C58" s="60"/>
      <c r="D58" s="60"/>
      <c r="E58" s="74"/>
      <c r="F58" s="74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4"/>
      <c r="U58" s="79"/>
      <c r="V58" s="140"/>
    </row>
    <row r="59" spans="1:25" s="18" customFormat="1" ht="15" customHeight="1" x14ac:dyDescent="0.3">
      <c r="A59" s="114">
        <v>4</v>
      </c>
      <c r="B59" s="95" t="s">
        <v>39</v>
      </c>
      <c r="C59" s="60"/>
      <c r="D59" s="60"/>
      <c r="E59" s="74"/>
      <c r="F59" s="74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4"/>
      <c r="U59" s="79"/>
      <c r="V59" s="140"/>
    </row>
    <row r="60" spans="1:25" s="18" customFormat="1" ht="15" customHeight="1" x14ac:dyDescent="0.3">
      <c r="A60" s="114">
        <v>3</v>
      </c>
      <c r="B60" s="95" t="s">
        <v>43</v>
      </c>
      <c r="C60" s="60"/>
      <c r="D60" s="60"/>
      <c r="E60" s="87"/>
      <c r="F60" s="87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87"/>
      <c r="U60" s="74"/>
      <c r="V60" s="103"/>
    </row>
    <row r="61" spans="1:25" s="18" customFormat="1" ht="15" customHeight="1" x14ac:dyDescent="0.3">
      <c r="A61" s="114">
        <v>2</v>
      </c>
      <c r="B61" s="95" t="s">
        <v>54</v>
      </c>
      <c r="C61" s="60"/>
      <c r="D61" s="60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103"/>
    </row>
    <row r="62" spans="1:25" s="18" customFormat="1" ht="15" customHeight="1" thickBot="1" x14ac:dyDescent="0.35">
      <c r="A62" s="116">
        <v>1</v>
      </c>
      <c r="B62" s="117" t="s">
        <v>53</v>
      </c>
      <c r="C62" s="118" t="s">
        <v>84</v>
      </c>
      <c r="D62" s="118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8"/>
    </row>
    <row r="63" spans="1:25" s="29" customFormat="1" ht="13.8" thickBot="1" x14ac:dyDescent="0.35">
      <c r="B63" s="13" t="s">
        <v>2</v>
      </c>
      <c r="C63" s="35">
        <f>SUM(C41:C62)</f>
        <v>0</v>
      </c>
      <c r="D63" s="85">
        <v>4.4000000000000004</v>
      </c>
      <c r="E63" s="85">
        <v>4.4000000000000004</v>
      </c>
      <c r="F63" s="85">
        <v>4.4000000000000004</v>
      </c>
      <c r="G63" s="85">
        <v>4.4000000000000004</v>
      </c>
      <c r="H63" s="85">
        <v>4.4000000000000004</v>
      </c>
      <c r="I63" s="85">
        <v>4.4000000000000004</v>
      </c>
      <c r="J63" s="85">
        <v>4.4000000000000004</v>
      </c>
      <c r="K63" s="85">
        <v>4.4000000000000004</v>
      </c>
      <c r="L63" s="85">
        <v>4.4000000000000004</v>
      </c>
      <c r="M63" s="85">
        <v>4.4000000000000004</v>
      </c>
      <c r="N63" s="85">
        <v>4.4000000000000004</v>
      </c>
      <c r="O63" s="85">
        <v>4.4000000000000004</v>
      </c>
      <c r="P63" s="85">
        <v>4.4000000000000004</v>
      </c>
      <c r="Q63" s="85">
        <v>4.4000000000000004</v>
      </c>
      <c r="R63" s="85">
        <v>4.4000000000000004</v>
      </c>
      <c r="S63" s="85">
        <v>4.4000000000000004</v>
      </c>
      <c r="T63" s="85">
        <v>4.4000000000000004</v>
      </c>
      <c r="U63" s="85">
        <v>4.4000000000000004</v>
      </c>
      <c r="V63" s="70">
        <v>4.4000000000000004</v>
      </c>
      <c r="W63" s="37">
        <f>SUM(D63:V63)</f>
        <v>83.600000000000009</v>
      </c>
      <c r="Y63" s="48"/>
    </row>
    <row r="64" spans="1:25" s="45" customFormat="1" ht="13.8" x14ac:dyDescent="0.3">
      <c r="C64" s="46"/>
    </row>
    <row r="65" spans="3:9" s="45" customFormat="1" ht="14.4" x14ac:dyDescent="0.3">
      <c r="C65" s="46"/>
      <c r="I65" s="27"/>
    </row>
    <row r="66" spans="3:9" s="27" customFormat="1" ht="14.4" x14ac:dyDescent="0.3">
      <c r="C66" s="47"/>
      <c r="I6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81" fitToHeight="0" orientation="landscape" r:id="rId1"/>
  <headerFooter>
    <oddHeader>&amp;RPrinz návrh jízdních řádů 2026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AE34-4E99-4985-8EA4-3C5921DD7ED2}">
  <sheetPr>
    <pageSetUpPr fitToPage="1"/>
  </sheetPr>
  <dimension ref="A1:AD59"/>
  <sheetViews>
    <sheetView topLeftCell="A25" zoomScaleNormal="100" workbookViewId="0">
      <selection activeCell="V22" sqref="V1:AA1048576"/>
    </sheetView>
  </sheetViews>
  <sheetFormatPr defaultColWidth="8.6640625" defaultRowHeight="13.2" x14ac:dyDescent="0.3"/>
  <cols>
    <col min="1" max="1" width="4.6640625" style="1" customWidth="1"/>
    <col min="2" max="2" width="19" style="1" customWidth="1"/>
    <col min="3" max="3" width="4.6640625" style="24" customWidth="1"/>
    <col min="4" max="4" width="7.5546875" style="1" customWidth="1"/>
    <col min="5" max="5" width="6.6640625" style="1" customWidth="1"/>
    <col min="6" max="8" width="4.6640625" style="1" customWidth="1"/>
    <col min="9" max="21" width="5.6640625" style="1" customWidth="1"/>
    <col min="22" max="27" width="5.5546875" style="1" customWidth="1"/>
    <col min="28" max="28" width="5.88671875" style="1" customWidth="1"/>
    <col min="29" max="32" width="4.6640625" style="1" customWidth="1"/>
    <col min="33" max="16384" width="8.6640625" style="1"/>
  </cols>
  <sheetData>
    <row r="1" spans="1:27" s="3" customFormat="1" ht="18" customHeight="1" x14ac:dyDescent="0.3">
      <c r="A1" s="4" t="s">
        <v>10</v>
      </c>
      <c r="B1" s="4"/>
      <c r="C1" s="15"/>
      <c r="D1" s="28" t="s">
        <v>88</v>
      </c>
    </row>
    <row r="2" spans="1:27" s="3" customFormat="1" ht="15" customHeight="1" thickBot="1" x14ac:dyDescent="0.35">
      <c r="A2" s="4"/>
      <c r="B2" s="66" t="s">
        <v>15</v>
      </c>
      <c r="C2" s="15"/>
    </row>
    <row r="3" spans="1:27" s="3" customFormat="1" ht="15" customHeight="1" x14ac:dyDescent="0.3">
      <c r="A3" s="98" t="s">
        <v>1</v>
      </c>
      <c r="B3" s="110"/>
      <c r="C3" s="141"/>
      <c r="D3" s="141">
        <v>1</v>
      </c>
      <c r="E3" s="141">
        <f>D3+2</f>
        <v>3</v>
      </c>
      <c r="F3" s="141">
        <f t="shared" ref="F3:U3" si="0">E3+2</f>
        <v>5</v>
      </c>
      <c r="G3" s="141">
        <f t="shared" si="0"/>
        <v>7</v>
      </c>
      <c r="H3" s="141">
        <f t="shared" si="0"/>
        <v>9</v>
      </c>
      <c r="I3" s="141">
        <f t="shared" si="0"/>
        <v>11</v>
      </c>
      <c r="J3" s="141">
        <f t="shared" si="0"/>
        <v>13</v>
      </c>
      <c r="K3" s="141">
        <f t="shared" si="0"/>
        <v>15</v>
      </c>
      <c r="L3" s="141">
        <f t="shared" si="0"/>
        <v>17</v>
      </c>
      <c r="M3" s="141">
        <f t="shared" si="0"/>
        <v>19</v>
      </c>
      <c r="N3" s="141">
        <f t="shared" si="0"/>
        <v>21</v>
      </c>
      <c r="O3" s="141">
        <f t="shared" si="0"/>
        <v>23</v>
      </c>
      <c r="P3" s="141">
        <f t="shared" si="0"/>
        <v>25</v>
      </c>
      <c r="Q3" s="141">
        <f t="shared" si="0"/>
        <v>27</v>
      </c>
      <c r="R3" s="141">
        <f t="shared" si="0"/>
        <v>29</v>
      </c>
      <c r="S3" s="141">
        <f t="shared" si="0"/>
        <v>31</v>
      </c>
      <c r="T3" s="141">
        <f t="shared" si="0"/>
        <v>33</v>
      </c>
      <c r="U3" s="142">
        <f t="shared" si="0"/>
        <v>35</v>
      </c>
    </row>
    <row r="4" spans="1:27" s="3" customFormat="1" ht="18" customHeight="1" x14ac:dyDescent="0.3">
      <c r="A4" s="102">
        <v>1</v>
      </c>
      <c r="B4" s="120" t="s">
        <v>33</v>
      </c>
      <c r="C4" s="96" t="s">
        <v>83</v>
      </c>
      <c r="D4" s="74">
        <v>0.21180555555555555</v>
      </c>
      <c r="E4" s="74">
        <v>0.25347222222222221</v>
      </c>
      <c r="F4" s="74">
        <v>0.29513888888888901</v>
      </c>
      <c r="G4" s="74">
        <v>0.33680555555555602</v>
      </c>
      <c r="H4" s="74">
        <v>0.37847222222222199</v>
      </c>
      <c r="I4" s="74">
        <v>0.42013888888888901</v>
      </c>
      <c r="J4" s="74">
        <v>0.46180555555555602</v>
      </c>
      <c r="K4" s="74">
        <v>0.50347222222222199</v>
      </c>
      <c r="L4" s="74">
        <v>0.54513888888888895</v>
      </c>
      <c r="M4" s="74">
        <v>0.58680555555555602</v>
      </c>
      <c r="N4" s="74">
        <v>0.62847222222222199</v>
      </c>
      <c r="O4" s="74">
        <v>0.67013888888888895</v>
      </c>
      <c r="P4" s="74">
        <v>0.71180555555555602</v>
      </c>
      <c r="Q4" s="74">
        <v>0.75347222222222199</v>
      </c>
      <c r="R4" s="74">
        <v>0.79513888888888895</v>
      </c>
      <c r="S4" s="74">
        <v>0.83680555555555602</v>
      </c>
      <c r="T4" s="74">
        <v>0.87847222222222199</v>
      </c>
      <c r="U4" s="103">
        <v>0.92013888888888895</v>
      </c>
    </row>
    <row r="5" spans="1:27" s="3" customFormat="1" ht="18" customHeight="1" x14ac:dyDescent="0.3">
      <c r="A5" s="102">
        <v>2</v>
      </c>
      <c r="B5" s="120" t="s">
        <v>34</v>
      </c>
      <c r="C5" s="96"/>
      <c r="D5" s="74">
        <f>D4+"0:01"</f>
        <v>0.21249999999999999</v>
      </c>
      <c r="E5" s="74">
        <f t="shared" ref="E5:T9" si="1">E4+"0:01"</f>
        <v>0.25416666666666665</v>
      </c>
      <c r="F5" s="74">
        <f t="shared" si="1"/>
        <v>0.29583333333333345</v>
      </c>
      <c r="G5" s="74">
        <f t="shared" si="1"/>
        <v>0.33750000000000047</v>
      </c>
      <c r="H5" s="74">
        <f t="shared" si="1"/>
        <v>0.37916666666666643</v>
      </c>
      <c r="I5" s="74">
        <f t="shared" si="1"/>
        <v>0.42083333333333345</v>
      </c>
      <c r="J5" s="74">
        <f t="shared" si="1"/>
        <v>0.46250000000000047</v>
      </c>
      <c r="K5" s="74">
        <f t="shared" si="1"/>
        <v>0.50416666666666643</v>
      </c>
      <c r="L5" s="74">
        <f t="shared" si="1"/>
        <v>0.54583333333333339</v>
      </c>
      <c r="M5" s="74">
        <f t="shared" si="1"/>
        <v>0.58750000000000047</v>
      </c>
      <c r="N5" s="74">
        <f t="shared" si="1"/>
        <v>0.62916666666666643</v>
      </c>
      <c r="O5" s="74">
        <f t="shared" si="1"/>
        <v>0.67083333333333339</v>
      </c>
      <c r="P5" s="74">
        <f t="shared" si="1"/>
        <v>0.71250000000000047</v>
      </c>
      <c r="Q5" s="74">
        <f t="shared" si="1"/>
        <v>0.75416666666666643</v>
      </c>
      <c r="R5" s="74">
        <f t="shared" si="1"/>
        <v>0.79583333333333339</v>
      </c>
      <c r="S5" s="74">
        <f t="shared" si="1"/>
        <v>0.83750000000000047</v>
      </c>
      <c r="T5" s="74">
        <f t="shared" si="1"/>
        <v>0.87916666666666643</v>
      </c>
      <c r="U5" s="103">
        <f t="shared" ref="U5" si="2">U4+"0:01"</f>
        <v>0.92083333333333339</v>
      </c>
    </row>
    <row r="6" spans="1:27" s="3" customFormat="1" ht="16.95" customHeight="1" x14ac:dyDescent="0.3">
      <c r="A6" s="102">
        <v>3</v>
      </c>
      <c r="B6" s="120" t="s">
        <v>32</v>
      </c>
      <c r="C6" s="96"/>
      <c r="D6" s="74">
        <f t="shared" ref="D6:D9" si="3">D5+"0:01"</f>
        <v>0.21319444444444444</v>
      </c>
      <c r="E6" s="74">
        <f t="shared" si="1"/>
        <v>0.25486111111111109</v>
      </c>
      <c r="F6" s="74">
        <f t="shared" si="1"/>
        <v>0.29652777777777789</v>
      </c>
      <c r="G6" s="74">
        <f t="shared" si="1"/>
        <v>0.33819444444444491</v>
      </c>
      <c r="H6" s="74">
        <f t="shared" si="1"/>
        <v>0.37986111111111087</v>
      </c>
      <c r="I6" s="74">
        <f t="shared" si="1"/>
        <v>0.42152777777777789</v>
      </c>
      <c r="J6" s="74">
        <f t="shared" si="1"/>
        <v>0.46319444444444491</v>
      </c>
      <c r="K6" s="74">
        <f t="shared" si="1"/>
        <v>0.50486111111111087</v>
      </c>
      <c r="L6" s="74">
        <f t="shared" si="1"/>
        <v>0.54652777777777783</v>
      </c>
      <c r="M6" s="74">
        <f t="shared" si="1"/>
        <v>0.58819444444444491</v>
      </c>
      <c r="N6" s="74">
        <f t="shared" si="1"/>
        <v>0.62986111111111087</v>
      </c>
      <c r="O6" s="74">
        <f t="shared" si="1"/>
        <v>0.67152777777777783</v>
      </c>
      <c r="P6" s="74">
        <f t="shared" si="1"/>
        <v>0.71319444444444491</v>
      </c>
      <c r="Q6" s="74">
        <f t="shared" si="1"/>
        <v>0.75486111111111087</v>
      </c>
      <c r="R6" s="74">
        <f t="shared" si="1"/>
        <v>0.79652777777777783</v>
      </c>
      <c r="S6" s="74">
        <f t="shared" si="1"/>
        <v>0.83819444444444491</v>
      </c>
      <c r="T6" s="74">
        <f t="shared" si="1"/>
        <v>0.87986111111111087</v>
      </c>
      <c r="U6" s="103">
        <f t="shared" ref="U6" si="4">U5+"0:01"</f>
        <v>0.92152777777777783</v>
      </c>
    </row>
    <row r="7" spans="1:27" s="3" customFormat="1" ht="18" customHeight="1" x14ac:dyDescent="0.3">
      <c r="A7" s="102">
        <v>4</v>
      </c>
      <c r="B7" s="120" t="s">
        <v>79</v>
      </c>
      <c r="C7" s="96"/>
      <c r="D7" s="74">
        <f t="shared" si="3"/>
        <v>0.21388888888888888</v>
      </c>
      <c r="E7" s="74">
        <f t="shared" si="1"/>
        <v>0.25555555555555554</v>
      </c>
      <c r="F7" s="74">
        <f t="shared" si="1"/>
        <v>0.29722222222222233</v>
      </c>
      <c r="G7" s="74">
        <f t="shared" si="1"/>
        <v>0.33888888888888935</v>
      </c>
      <c r="H7" s="74">
        <f t="shared" si="1"/>
        <v>0.38055555555555531</v>
      </c>
      <c r="I7" s="74">
        <f t="shared" si="1"/>
        <v>0.42222222222222233</v>
      </c>
      <c r="J7" s="74">
        <f t="shared" si="1"/>
        <v>0.46388888888888935</v>
      </c>
      <c r="K7" s="74">
        <f t="shared" si="1"/>
        <v>0.50555555555555531</v>
      </c>
      <c r="L7" s="74">
        <f t="shared" si="1"/>
        <v>0.54722222222222228</v>
      </c>
      <c r="M7" s="74">
        <f t="shared" si="1"/>
        <v>0.58888888888888935</v>
      </c>
      <c r="N7" s="74">
        <f t="shared" si="1"/>
        <v>0.63055555555555531</v>
      </c>
      <c r="O7" s="74">
        <f t="shared" si="1"/>
        <v>0.67222222222222228</v>
      </c>
      <c r="P7" s="74">
        <f t="shared" si="1"/>
        <v>0.71388888888888935</v>
      </c>
      <c r="Q7" s="74">
        <f t="shared" si="1"/>
        <v>0.75555555555555531</v>
      </c>
      <c r="R7" s="74">
        <f t="shared" si="1"/>
        <v>0.79722222222222228</v>
      </c>
      <c r="S7" s="74">
        <f t="shared" si="1"/>
        <v>0.83888888888888935</v>
      </c>
      <c r="T7" s="74">
        <f t="shared" si="1"/>
        <v>0.88055555555555531</v>
      </c>
      <c r="U7" s="103">
        <f t="shared" ref="U7" si="5">U6+"0:01"</f>
        <v>0.92222222222222228</v>
      </c>
    </row>
    <row r="8" spans="1:27" s="3" customFormat="1" ht="18" customHeight="1" x14ac:dyDescent="0.3">
      <c r="A8" s="102">
        <v>5</v>
      </c>
      <c r="B8" s="120" t="s">
        <v>80</v>
      </c>
      <c r="C8" s="96"/>
      <c r="D8" s="74">
        <f t="shared" si="3"/>
        <v>0.21458333333333332</v>
      </c>
      <c r="E8" s="74">
        <f t="shared" si="1"/>
        <v>0.25624999999999998</v>
      </c>
      <c r="F8" s="74">
        <f t="shared" si="1"/>
        <v>0.29791666666666677</v>
      </c>
      <c r="G8" s="74">
        <f t="shared" si="1"/>
        <v>0.33958333333333379</v>
      </c>
      <c r="H8" s="74">
        <f t="shared" si="1"/>
        <v>0.38124999999999976</v>
      </c>
      <c r="I8" s="74">
        <f t="shared" si="1"/>
        <v>0.42291666666666677</v>
      </c>
      <c r="J8" s="74">
        <f t="shared" si="1"/>
        <v>0.46458333333333379</v>
      </c>
      <c r="K8" s="74">
        <f t="shared" si="1"/>
        <v>0.50624999999999976</v>
      </c>
      <c r="L8" s="74">
        <f t="shared" si="1"/>
        <v>0.54791666666666672</v>
      </c>
      <c r="M8" s="74">
        <f t="shared" si="1"/>
        <v>0.58958333333333379</v>
      </c>
      <c r="N8" s="74">
        <f t="shared" si="1"/>
        <v>0.63124999999999976</v>
      </c>
      <c r="O8" s="74">
        <f t="shared" si="1"/>
        <v>0.67291666666666672</v>
      </c>
      <c r="P8" s="74">
        <f t="shared" si="1"/>
        <v>0.71458333333333379</v>
      </c>
      <c r="Q8" s="74">
        <f t="shared" si="1"/>
        <v>0.75624999999999976</v>
      </c>
      <c r="R8" s="74">
        <f t="shared" si="1"/>
        <v>0.79791666666666672</v>
      </c>
      <c r="S8" s="74">
        <f t="shared" si="1"/>
        <v>0.83958333333333379</v>
      </c>
      <c r="T8" s="74">
        <f t="shared" si="1"/>
        <v>0.88124999999999976</v>
      </c>
      <c r="U8" s="103">
        <f t="shared" ref="U8" si="6">U7+"0:01"</f>
        <v>0.92291666666666672</v>
      </c>
    </row>
    <row r="9" spans="1:27" s="3" customFormat="1" ht="18" customHeight="1" x14ac:dyDescent="0.3">
      <c r="A9" s="102">
        <v>6</v>
      </c>
      <c r="B9" s="120" t="s">
        <v>31</v>
      </c>
      <c r="C9" s="96"/>
      <c r="D9" s="74">
        <f t="shared" si="3"/>
        <v>0.21527777777777776</v>
      </c>
      <c r="E9" s="74">
        <f t="shared" si="1"/>
        <v>0.25694444444444442</v>
      </c>
      <c r="F9" s="74">
        <f t="shared" si="1"/>
        <v>0.29861111111111122</v>
      </c>
      <c r="G9" s="74">
        <f t="shared" si="1"/>
        <v>0.34027777777777823</v>
      </c>
      <c r="H9" s="74">
        <f t="shared" si="1"/>
        <v>0.3819444444444442</v>
      </c>
      <c r="I9" s="74">
        <f t="shared" si="1"/>
        <v>0.42361111111111122</v>
      </c>
      <c r="J9" s="74">
        <f t="shared" si="1"/>
        <v>0.46527777777777823</v>
      </c>
      <c r="K9" s="74">
        <f t="shared" si="1"/>
        <v>0.5069444444444442</v>
      </c>
      <c r="L9" s="74">
        <f t="shared" si="1"/>
        <v>0.54861111111111116</v>
      </c>
      <c r="M9" s="74">
        <f t="shared" si="1"/>
        <v>0.59027777777777823</v>
      </c>
      <c r="N9" s="74">
        <f t="shared" si="1"/>
        <v>0.6319444444444442</v>
      </c>
      <c r="O9" s="74">
        <f t="shared" si="1"/>
        <v>0.67361111111111116</v>
      </c>
      <c r="P9" s="74">
        <f t="shared" si="1"/>
        <v>0.71527777777777823</v>
      </c>
      <c r="Q9" s="74">
        <f t="shared" si="1"/>
        <v>0.7569444444444442</v>
      </c>
      <c r="R9" s="74">
        <f t="shared" si="1"/>
        <v>0.79861111111111116</v>
      </c>
      <c r="S9" s="74">
        <f t="shared" si="1"/>
        <v>0.84027777777777823</v>
      </c>
      <c r="T9" s="74">
        <f t="shared" si="1"/>
        <v>0.8819444444444442</v>
      </c>
      <c r="U9" s="103">
        <f t="shared" ref="U9" si="7">U8+"0:01"</f>
        <v>0.92361111111111116</v>
      </c>
    </row>
    <row r="10" spans="1:27" s="3" customFormat="1" ht="18" customHeight="1" x14ac:dyDescent="0.3">
      <c r="A10" s="102">
        <v>7</v>
      </c>
      <c r="B10" s="120" t="s">
        <v>30</v>
      </c>
      <c r="C10" s="96"/>
      <c r="D10" s="74">
        <f>D9+"0:02"</f>
        <v>0.21666666666666665</v>
      </c>
      <c r="E10" s="74">
        <f t="shared" ref="E10:T10" si="8">E9+"0:02"</f>
        <v>0.2583333333333333</v>
      </c>
      <c r="F10" s="74">
        <f t="shared" si="8"/>
        <v>0.3000000000000001</v>
      </c>
      <c r="G10" s="74">
        <f t="shared" si="8"/>
        <v>0.34166666666666712</v>
      </c>
      <c r="H10" s="74">
        <f t="shared" si="8"/>
        <v>0.38333333333333308</v>
      </c>
      <c r="I10" s="74">
        <f t="shared" si="8"/>
        <v>0.4250000000000001</v>
      </c>
      <c r="J10" s="74">
        <f t="shared" si="8"/>
        <v>0.46666666666666712</v>
      </c>
      <c r="K10" s="74">
        <f t="shared" si="8"/>
        <v>0.50833333333333308</v>
      </c>
      <c r="L10" s="74">
        <f t="shared" si="8"/>
        <v>0.55000000000000004</v>
      </c>
      <c r="M10" s="74">
        <f t="shared" si="8"/>
        <v>0.59166666666666712</v>
      </c>
      <c r="N10" s="74">
        <f t="shared" si="8"/>
        <v>0.63333333333333308</v>
      </c>
      <c r="O10" s="74">
        <f t="shared" si="8"/>
        <v>0.67500000000000004</v>
      </c>
      <c r="P10" s="74">
        <f t="shared" si="8"/>
        <v>0.71666666666666712</v>
      </c>
      <c r="Q10" s="74">
        <f t="shared" si="8"/>
        <v>0.75833333333333308</v>
      </c>
      <c r="R10" s="74">
        <f t="shared" si="8"/>
        <v>0.8</v>
      </c>
      <c r="S10" s="74">
        <f t="shared" si="8"/>
        <v>0.84166666666666712</v>
      </c>
      <c r="T10" s="74">
        <f t="shared" si="8"/>
        <v>0.88333333333333308</v>
      </c>
      <c r="U10" s="103">
        <f t="shared" ref="U10" si="9">U9+"0:02"</f>
        <v>0.92500000000000004</v>
      </c>
    </row>
    <row r="11" spans="1:27" s="3" customFormat="1" ht="18" customHeight="1" x14ac:dyDescent="0.3">
      <c r="A11" s="102">
        <v>8</v>
      </c>
      <c r="B11" s="120" t="s">
        <v>20</v>
      </c>
      <c r="C11" s="96"/>
      <c r="D11" s="74">
        <f t="shared" ref="D11:D19" si="10">D10+"0:03"</f>
        <v>0.21874999999999997</v>
      </c>
      <c r="E11" s="74">
        <f t="shared" ref="E11" si="11">E10+"0:03"</f>
        <v>0.26041666666666663</v>
      </c>
      <c r="F11" s="74">
        <f t="shared" ref="F11" si="12">F10+"0:03"</f>
        <v>0.30208333333333343</v>
      </c>
      <c r="G11" s="74">
        <f t="shared" ref="G11" si="13">G10+"0:03"</f>
        <v>0.34375000000000044</v>
      </c>
      <c r="H11" s="74">
        <f t="shared" ref="H11" si="14">H10+"0:03"</f>
        <v>0.38541666666666641</v>
      </c>
      <c r="I11" s="74">
        <f t="shared" ref="I11" si="15">I10+"0:03"</f>
        <v>0.42708333333333343</v>
      </c>
      <c r="J11" s="74">
        <f t="shared" ref="J11" si="16">J10+"0:03"</f>
        <v>0.46875000000000044</v>
      </c>
      <c r="K11" s="74">
        <f t="shared" ref="K11" si="17">K10+"0:03"</f>
        <v>0.51041666666666641</v>
      </c>
      <c r="L11" s="74">
        <f t="shared" ref="L11" si="18">L10+"0:03"</f>
        <v>0.55208333333333337</v>
      </c>
      <c r="M11" s="74">
        <f t="shared" ref="M11" si="19">M10+"0:03"</f>
        <v>0.59375000000000044</v>
      </c>
      <c r="N11" s="74">
        <f t="shared" ref="N11" si="20">N10+"0:03"</f>
        <v>0.63541666666666641</v>
      </c>
      <c r="O11" s="74">
        <f t="shared" ref="O11" si="21">O10+"0:03"</f>
        <v>0.67708333333333337</v>
      </c>
      <c r="P11" s="74">
        <f t="shared" ref="P11" si="22">P10+"0:03"</f>
        <v>0.71875000000000044</v>
      </c>
      <c r="Q11" s="74">
        <f t="shared" ref="Q11" si="23">Q10+"0:03"</f>
        <v>0.76041666666666641</v>
      </c>
      <c r="R11" s="74">
        <f t="shared" ref="R11" si="24">R10+"0:03"</f>
        <v>0.80208333333333337</v>
      </c>
      <c r="S11" s="74">
        <f t="shared" ref="S11" si="25">S10+"0:03"</f>
        <v>0.84375000000000044</v>
      </c>
      <c r="T11" s="74">
        <f t="shared" ref="T11:U11" si="26">T10+"0:03"</f>
        <v>0.88541666666666641</v>
      </c>
      <c r="U11" s="103">
        <f t="shared" si="26"/>
        <v>0.92708333333333337</v>
      </c>
    </row>
    <row r="12" spans="1:27" s="29" customFormat="1" ht="15" customHeight="1" x14ac:dyDescent="0.3">
      <c r="A12" s="102">
        <v>9</v>
      </c>
      <c r="B12" s="120" t="s">
        <v>53</v>
      </c>
      <c r="C12" s="78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103"/>
      <c r="V12" s="3"/>
      <c r="W12" s="3"/>
      <c r="X12" s="3"/>
      <c r="Y12" s="3"/>
      <c r="Z12" s="3"/>
      <c r="AA12" s="3"/>
    </row>
    <row r="13" spans="1:27" s="29" customFormat="1" ht="15" customHeight="1" x14ac:dyDescent="0.3">
      <c r="A13" s="102">
        <v>10</v>
      </c>
      <c r="B13" s="120" t="s">
        <v>54</v>
      </c>
      <c r="C13" s="78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103"/>
      <c r="V13" s="3"/>
      <c r="W13" s="3"/>
      <c r="X13" s="3"/>
      <c r="Y13" s="3"/>
      <c r="Z13" s="3"/>
      <c r="AA13" s="3"/>
    </row>
    <row r="14" spans="1:27" s="29" customFormat="1" ht="15" customHeight="1" x14ac:dyDescent="0.3">
      <c r="A14" s="102">
        <v>11</v>
      </c>
      <c r="B14" s="120" t="s">
        <v>43</v>
      </c>
      <c r="C14" s="78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103"/>
      <c r="V14" s="3"/>
      <c r="W14" s="3"/>
      <c r="X14" s="3"/>
      <c r="Y14" s="3"/>
      <c r="Z14" s="3"/>
      <c r="AA14" s="3"/>
    </row>
    <row r="15" spans="1:27" s="3" customFormat="1" ht="15" customHeight="1" x14ac:dyDescent="0.3">
      <c r="A15" s="102">
        <v>12</v>
      </c>
      <c r="B15" s="97" t="s">
        <v>39</v>
      </c>
      <c r="C15" s="96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103"/>
    </row>
    <row r="16" spans="1:27" s="3" customFormat="1" ht="15" customHeight="1" x14ac:dyDescent="0.3">
      <c r="A16" s="102">
        <v>13</v>
      </c>
      <c r="B16" s="97" t="s">
        <v>43</v>
      </c>
      <c r="C16" s="96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103"/>
    </row>
    <row r="17" spans="1:22" s="3" customFormat="1" ht="15" customHeight="1" x14ac:dyDescent="0.3">
      <c r="A17" s="102">
        <v>14</v>
      </c>
      <c r="B17" s="97" t="s">
        <v>40</v>
      </c>
      <c r="C17" s="96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103"/>
    </row>
    <row r="18" spans="1:22" s="3" customFormat="1" ht="15" customHeight="1" x14ac:dyDescent="0.3">
      <c r="A18" s="102">
        <v>15</v>
      </c>
      <c r="B18" s="97" t="s">
        <v>97</v>
      </c>
      <c r="C18" s="96" t="s">
        <v>84</v>
      </c>
      <c r="D18" s="74">
        <f>D11+"0:03"</f>
        <v>0.2208333333333333</v>
      </c>
      <c r="E18" s="74">
        <f t="shared" ref="E18:U18" si="27">E11+"0:03"</f>
        <v>0.26249999999999996</v>
      </c>
      <c r="F18" s="74">
        <f t="shared" si="27"/>
        <v>0.30416666666666675</v>
      </c>
      <c r="G18" s="74">
        <f t="shared" si="27"/>
        <v>0.34583333333333377</v>
      </c>
      <c r="H18" s="74">
        <f t="shared" si="27"/>
        <v>0.38749999999999973</v>
      </c>
      <c r="I18" s="74">
        <f t="shared" si="27"/>
        <v>0.42916666666666675</v>
      </c>
      <c r="J18" s="74">
        <f t="shared" si="27"/>
        <v>0.47083333333333377</v>
      </c>
      <c r="K18" s="74">
        <f t="shared" si="27"/>
        <v>0.51249999999999973</v>
      </c>
      <c r="L18" s="74">
        <f t="shared" si="27"/>
        <v>0.5541666666666667</v>
      </c>
      <c r="M18" s="74">
        <f t="shared" si="27"/>
        <v>0.59583333333333377</v>
      </c>
      <c r="N18" s="74">
        <f t="shared" si="27"/>
        <v>0.63749999999999973</v>
      </c>
      <c r="O18" s="74">
        <f t="shared" si="27"/>
        <v>0.6791666666666667</v>
      </c>
      <c r="P18" s="74">
        <f t="shared" si="27"/>
        <v>0.72083333333333377</v>
      </c>
      <c r="Q18" s="74">
        <f t="shared" si="27"/>
        <v>0.76249999999999973</v>
      </c>
      <c r="R18" s="74">
        <f t="shared" si="27"/>
        <v>0.8041666666666667</v>
      </c>
      <c r="S18" s="74">
        <f t="shared" si="27"/>
        <v>0.84583333333333377</v>
      </c>
      <c r="T18" s="74">
        <f t="shared" si="27"/>
        <v>0.88749999999999973</v>
      </c>
      <c r="U18" s="103">
        <f t="shared" si="27"/>
        <v>0.9291666666666667</v>
      </c>
    </row>
    <row r="19" spans="1:22" s="3" customFormat="1" ht="15" customHeight="1" x14ac:dyDescent="0.3">
      <c r="A19" s="102">
        <v>16</v>
      </c>
      <c r="B19" s="97" t="s">
        <v>97</v>
      </c>
      <c r="C19" s="96" t="s">
        <v>83</v>
      </c>
      <c r="D19" s="74">
        <f t="shared" si="10"/>
        <v>0.22291666666666662</v>
      </c>
      <c r="E19" s="74">
        <f t="shared" ref="E19:E20" si="28">E18+"0:03"</f>
        <v>0.26458333333333328</v>
      </c>
      <c r="F19" s="74">
        <f t="shared" ref="F19:F20" si="29">F18+"0:03"</f>
        <v>0.30625000000000008</v>
      </c>
      <c r="G19" s="74">
        <f t="shared" ref="G19:G20" si="30">G18+"0:03"</f>
        <v>0.3479166666666671</v>
      </c>
      <c r="H19" s="74">
        <f t="shared" ref="H19:H20" si="31">H18+"0:03"</f>
        <v>0.38958333333333306</v>
      </c>
      <c r="I19" s="74">
        <f t="shared" ref="I19:I20" si="32">I18+"0:03"</f>
        <v>0.43125000000000008</v>
      </c>
      <c r="J19" s="74">
        <f t="shared" ref="J19:J20" si="33">J18+"0:03"</f>
        <v>0.4729166666666671</v>
      </c>
      <c r="K19" s="74">
        <f t="shared" ref="K19:K20" si="34">K18+"0:03"</f>
        <v>0.51458333333333306</v>
      </c>
      <c r="L19" s="74">
        <f t="shared" ref="L19:L20" si="35">L18+"0:03"</f>
        <v>0.55625000000000002</v>
      </c>
      <c r="M19" s="74">
        <f t="shared" ref="M19:M20" si="36">M18+"0:03"</f>
        <v>0.5979166666666671</v>
      </c>
      <c r="N19" s="74">
        <f t="shared" ref="N19:N20" si="37">N18+"0:03"</f>
        <v>0.63958333333333306</v>
      </c>
      <c r="O19" s="74">
        <f t="shared" ref="O19:O20" si="38">O18+"0:03"</f>
        <v>0.68125000000000002</v>
      </c>
      <c r="P19" s="74">
        <f t="shared" ref="P19:P20" si="39">P18+"0:03"</f>
        <v>0.7229166666666671</v>
      </c>
      <c r="Q19" s="74">
        <f t="shared" ref="Q19:Q20" si="40">Q18+"0:03"</f>
        <v>0.76458333333333306</v>
      </c>
      <c r="R19" s="74">
        <f t="shared" ref="R19:R20" si="41">R18+"0:03"</f>
        <v>0.80625000000000002</v>
      </c>
      <c r="S19" s="74">
        <f t="shared" ref="S19:S20" si="42">S18+"0:03"</f>
        <v>0.8479166666666671</v>
      </c>
      <c r="T19" s="74"/>
      <c r="U19" s="103"/>
    </row>
    <row r="20" spans="1:22" s="3" customFormat="1" ht="15" customHeight="1" x14ac:dyDescent="0.3">
      <c r="A20" s="102">
        <v>17</v>
      </c>
      <c r="B20" s="97" t="s">
        <v>44</v>
      </c>
      <c r="C20" s="96"/>
      <c r="D20" s="74">
        <f>D19+"0:03"</f>
        <v>0.22499999999999995</v>
      </c>
      <c r="E20" s="74">
        <f t="shared" si="28"/>
        <v>0.26666666666666661</v>
      </c>
      <c r="F20" s="74">
        <f t="shared" si="29"/>
        <v>0.3083333333333334</v>
      </c>
      <c r="G20" s="74">
        <f t="shared" si="30"/>
        <v>0.35000000000000042</v>
      </c>
      <c r="H20" s="74">
        <f t="shared" si="31"/>
        <v>0.39166666666666639</v>
      </c>
      <c r="I20" s="74">
        <f t="shared" si="32"/>
        <v>0.4333333333333334</v>
      </c>
      <c r="J20" s="74">
        <f t="shared" si="33"/>
        <v>0.47500000000000042</v>
      </c>
      <c r="K20" s="74">
        <f t="shared" si="34"/>
        <v>0.51666666666666639</v>
      </c>
      <c r="L20" s="74">
        <f t="shared" si="35"/>
        <v>0.55833333333333335</v>
      </c>
      <c r="M20" s="74">
        <f t="shared" si="36"/>
        <v>0.60000000000000042</v>
      </c>
      <c r="N20" s="74">
        <f t="shared" si="37"/>
        <v>0.64166666666666639</v>
      </c>
      <c r="O20" s="74">
        <f t="shared" si="38"/>
        <v>0.68333333333333335</v>
      </c>
      <c r="P20" s="74">
        <f t="shared" si="39"/>
        <v>0.72500000000000042</v>
      </c>
      <c r="Q20" s="74">
        <f t="shared" si="40"/>
        <v>0.76666666666666639</v>
      </c>
      <c r="R20" s="74">
        <f t="shared" si="41"/>
        <v>0.80833333333333335</v>
      </c>
      <c r="S20" s="74">
        <f t="shared" si="42"/>
        <v>0.85000000000000042</v>
      </c>
      <c r="T20" s="74"/>
      <c r="U20" s="103"/>
    </row>
    <row r="21" spans="1:22" s="3" customFormat="1" ht="15" customHeight="1" x14ac:dyDescent="0.3">
      <c r="A21" s="102">
        <v>18</v>
      </c>
      <c r="B21" s="97" t="s">
        <v>45</v>
      </c>
      <c r="C21" s="96"/>
      <c r="D21" s="74">
        <f t="shared" ref="D21" si="43">D20+"0:03"</f>
        <v>0.22708333333333328</v>
      </c>
      <c r="E21" s="74">
        <f t="shared" ref="E21:S21" si="44">E20+"0:03"</f>
        <v>0.26874999999999993</v>
      </c>
      <c r="F21" s="74">
        <f t="shared" si="44"/>
        <v>0.31041666666666673</v>
      </c>
      <c r="G21" s="74">
        <f t="shared" si="44"/>
        <v>0.35208333333333375</v>
      </c>
      <c r="H21" s="74">
        <f t="shared" si="44"/>
        <v>0.39374999999999971</v>
      </c>
      <c r="I21" s="74">
        <f t="shared" si="44"/>
        <v>0.43541666666666673</v>
      </c>
      <c r="J21" s="74">
        <f t="shared" si="44"/>
        <v>0.47708333333333375</v>
      </c>
      <c r="K21" s="74">
        <f t="shared" si="44"/>
        <v>0.51874999999999971</v>
      </c>
      <c r="L21" s="74">
        <f t="shared" si="44"/>
        <v>0.56041666666666667</v>
      </c>
      <c r="M21" s="74">
        <f t="shared" si="44"/>
        <v>0.60208333333333375</v>
      </c>
      <c r="N21" s="74">
        <f t="shared" si="44"/>
        <v>0.64374999999999971</v>
      </c>
      <c r="O21" s="74">
        <f t="shared" si="44"/>
        <v>0.68541666666666667</v>
      </c>
      <c r="P21" s="74">
        <f t="shared" si="44"/>
        <v>0.72708333333333375</v>
      </c>
      <c r="Q21" s="74">
        <f t="shared" si="44"/>
        <v>0.76874999999999971</v>
      </c>
      <c r="R21" s="74">
        <f t="shared" si="44"/>
        <v>0.81041666666666667</v>
      </c>
      <c r="S21" s="74">
        <f t="shared" si="44"/>
        <v>0.85208333333333375</v>
      </c>
      <c r="T21" s="74"/>
      <c r="U21" s="103"/>
    </row>
    <row r="22" spans="1:22" s="3" customFormat="1" ht="15" customHeight="1" x14ac:dyDescent="0.3">
      <c r="A22" s="102">
        <v>19</v>
      </c>
      <c r="B22" s="97" t="s">
        <v>46</v>
      </c>
      <c r="C22" s="96"/>
      <c r="D22" s="74">
        <f>D21+"0:02"</f>
        <v>0.22847222222222216</v>
      </c>
      <c r="E22" s="74">
        <f t="shared" ref="E22:S22" si="45">E21+"0:02"</f>
        <v>0.27013888888888882</v>
      </c>
      <c r="F22" s="74">
        <f t="shared" si="45"/>
        <v>0.31180555555555561</v>
      </c>
      <c r="G22" s="74">
        <f t="shared" si="45"/>
        <v>0.35347222222222263</v>
      </c>
      <c r="H22" s="74">
        <f t="shared" si="45"/>
        <v>0.3951388888888886</v>
      </c>
      <c r="I22" s="74">
        <f t="shared" si="45"/>
        <v>0.43680555555555561</v>
      </c>
      <c r="J22" s="74">
        <f t="shared" si="45"/>
        <v>0.47847222222222263</v>
      </c>
      <c r="K22" s="74">
        <f t="shared" si="45"/>
        <v>0.5201388888888886</v>
      </c>
      <c r="L22" s="74">
        <f t="shared" si="45"/>
        <v>0.56180555555555556</v>
      </c>
      <c r="M22" s="74">
        <f t="shared" si="45"/>
        <v>0.60347222222222263</v>
      </c>
      <c r="N22" s="74">
        <f t="shared" si="45"/>
        <v>0.6451388888888886</v>
      </c>
      <c r="O22" s="74">
        <f t="shared" si="45"/>
        <v>0.68680555555555556</v>
      </c>
      <c r="P22" s="74">
        <f t="shared" si="45"/>
        <v>0.72847222222222263</v>
      </c>
      <c r="Q22" s="74">
        <f t="shared" si="45"/>
        <v>0.7701388888888886</v>
      </c>
      <c r="R22" s="74">
        <f t="shared" si="45"/>
        <v>0.81180555555555556</v>
      </c>
      <c r="S22" s="74">
        <f t="shared" si="45"/>
        <v>0.85347222222222263</v>
      </c>
      <c r="T22" s="74"/>
      <c r="U22" s="103"/>
    </row>
    <row r="23" spans="1:22" s="3" customFormat="1" ht="15" customHeight="1" x14ac:dyDescent="0.3">
      <c r="A23" s="102">
        <v>20</v>
      </c>
      <c r="B23" s="97" t="s">
        <v>47</v>
      </c>
      <c r="C23" s="96"/>
      <c r="D23" s="74">
        <f>D22+"0:01"</f>
        <v>0.2291666666666666</v>
      </c>
      <c r="E23" s="74">
        <f t="shared" ref="E23:S23" si="46">E22+"0:01"</f>
        <v>0.27083333333333326</v>
      </c>
      <c r="F23" s="74">
        <f t="shared" si="46"/>
        <v>0.31250000000000006</v>
      </c>
      <c r="G23" s="74">
        <f t="shared" si="46"/>
        <v>0.35416666666666707</v>
      </c>
      <c r="H23" s="74">
        <f t="shared" si="46"/>
        <v>0.39583333333333304</v>
      </c>
      <c r="I23" s="74">
        <f t="shared" si="46"/>
        <v>0.43750000000000006</v>
      </c>
      <c r="J23" s="74">
        <f t="shared" si="46"/>
        <v>0.47916666666666707</v>
      </c>
      <c r="K23" s="74">
        <f t="shared" si="46"/>
        <v>0.52083333333333304</v>
      </c>
      <c r="L23" s="74">
        <f t="shared" si="46"/>
        <v>0.5625</v>
      </c>
      <c r="M23" s="74">
        <f t="shared" si="46"/>
        <v>0.60416666666666707</v>
      </c>
      <c r="N23" s="74">
        <f t="shared" si="46"/>
        <v>0.64583333333333304</v>
      </c>
      <c r="O23" s="74">
        <f t="shared" si="46"/>
        <v>0.6875</v>
      </c>
      <c r="P23" s="74">
        <f t="shared" si="46"/>
        <v>0.72916666666666707</v>
      </c>
      <c r="Q23" s="74">
        <f t="shared" si="46"/>
        <v>0.77083333333333304</v>
      </c>
      <c r="R23" s="74">
        <f t="shared" si="46"/>
        <v>0.8125</v>
      </c>
      <c r="S23" s="74">
        <f t="shared" si="46"/>
        <v>0.85416666666666707</v>
      </c>
      <c r="T23" s="74"/>
      <c r="U23" s="103"/>
    </row>
    <row r="24" spans="1:22" s="3" customFormat="1" ht="15" customHeight="1" x14ac:dyDescent="0.3">
      <c r="A24" s="102">
        <v>21</v>
      </c>
      <c r="B24" s="97" t="s">
        <v>56</v>
      </c>
      <c r="C24" s="96"/>
      <c r="D24" s="74">
        <f>D23+"0:02"</f>
        <v>0.23055555555555549</v>
      </c>
      <c r="E24" s="74">
        <f t="shared" ref="E24:S24" si="47">E23+"0:02"</f>
        <v>0.27222222222222214</v>
      </c>
      <c r="F24" s="74">
        <f t="shared" si="47"/>
        <v>0.31388888888888894</v>
      </c>
      <c r="G24" s="74">
        <f t="shared" si="47"/>
        <v>0.35555555555555596</v>
      </c>
      <c r="H24" s="74">
        <f t="shared" si="47"/>
        <v>0.39722222222222192</v>
      </c>
      <c r="I24" s="74">
        <f t="shared" si="47"/>
        <v>0.43888888888888894</v>
      </c>
      <c r="J24" s="74">
        <f t="shared" si="47"/>
        <v>0.48055555555555596</v>
      </c>
      <c r="K24" s="74">
        <f t="shared" si="47"/>
        <v>0.52222222222222192</v>
      </c>
      <c r="L24" s="74">
        <f t="shared" si="47"/>
        <v>0.56388888888888888</v>
      </c>
      <c r="M24" s="74">
        <f t="shared" si="47"/>
        <v>0.60555555555555596</v>
      </c>
      <c r="N24" s="74">
        <f t="shared" si="47"/>
        <v>0.64722222222222192</v>
      </c>
      <c r="O24" s="74">
        <f t="shared" si="47"/>
        <v>0.68888888888888888</v>
      </c>
      <c r="P24" s="74">
        <f t="shared" si="47"/>
        <v>0.73055555555555596</v>
      </c>
      <c r="Q24" s="74">
        <f t="shared" si="47"/>
        <v>0.77222222222222192</v>
      </c>
      <c r="R24" s="74">
        <f t="shared" si="47"/>
        <v>0.81388888888888888</v>
      </c>
      <c r="S24" s="74">
        <f t="shared" si="47"/>
        <v>0.85555555555555596</v>
      </c>
      <c r="T24" s="74"/>
      <c r="U24" s="103"/>
    </row>
    <row r="25" spans="1:22" s="3" customFormat="1" ht="15" customHeight="1" x14ac:dyDescent="0.3">
      <c r="A25" s="102">
        <v>22</v>
      </c>
      <c r="B25" s="97" t="s">
        <v>57</v>
      </c>
      <c r="C25" s="96"/>
      <c r="D25" s="74">
        <f t="shared" ref="D25:D26" si="48">D24+"0:01"</f>
        <v>0.23124999999999993</v>
      </c>
      <c r="E25" s="74">
        <f t="shared" ref="E25:S25" si="49">E24+"0:01"</f>
        <v>0.27291666666666659</v>
      </c>
      <c r="F25" s="74">
        <f t="shared" si="49"/>
        <v>0.31458333333333338</v>
      </c>
      <c r="G25" s="74">
        <f t="shared" si="49"/>
        <v>0.3562500000000004</v>
      </c>
      <c r="H25" s="74">
        <f t="shared" si="49"/>
        <v>0.39791666666666636</v>
      </c>
      <c r="I25" s="74">
        <f t="shared" si="49"/>
        <v>0.43958333333333338</v>
      </c>
      <c r="J25" s="74">
        <f t="shared" si="49"/>
        <v>0.4812500000000004</v>
      </c>
      <c r="K25" s="74">
        <f t="shared" si="49"/>
        <v>0.52291666666666636</v>
      </c>
      <c r="L25" s="74">
        <f t="shared" si="49"/>
        <v>0.56458333333333333</v>
      </c>
      <c r="M25" s="74">
        <f t="shared" si="49"/>
        <v>0.6062500000000004</v>
      </c>
      <c r="N25" s="74">
        <f t="shared" si="49"/>
        <v>0.64791666666666636</v>
      </c>
      <c r="O25" s="74">
        <f t="shared" si="49"/>
        <v>0.68958333333333333</v>
      </c>
      <c r="P25" s="74">
        <f t="shared" si="49"/>
        <v>0.7312500000000004</v>
      </c>
      <c r="Q25" s="74">
        <f t="shared" si="49"/>
        <v>0.77291666666666636</v>
      </c>
      <c r="R25" s="74">
        <f t="shared" si="49"/>
        <v>0.81458333333333333</v>
      </c>
      <c r="S25" s="74">
        <f t="shared" si="49"/>
        <v>0.8562500000000004</v>
      </c>
      <c r="T25" s="74"/>
      <c r="U25" s="103"/>
    </row>
    <row r="26" spans="1:22" s="3" customFormat="1" ht="15" customHeight="1" x14ac:dyDescent="0.3">
      <c r="A26" s="102">
        <v>23</v>
      </c>
      <c r="B26" s="97" t="s">
        <v>58</v>
      </c>
      <c r="C26" s="96"/>
      <c r="D26" s="74">
        <f t="shared" si="48"/>
        <v>0.23194444444444437</v>
      </c>
      <c r="E26" s="74">
        <f t="shared" ref="E26:S26" si="50">E25+"0:01"</f>
        <v>0.27361111111111103</v>
      </c>
      <c r="F26" s="74">
        <f t="shared" si="50"/>
        <v>0.31527777777777782</v>
      </c>
      <c r="G26" s="74">
        <f t="shared" si="50"/>
        <v>0.35694444444444484</v>
      </c>
      <c r="H26" s="74">
        <f t="shared" si="50"/>
        <v>0.39861111111111081</v>
      </c>
      <c r="I26" s="74">
        <f t="shared" si="50"/>
        <v>0.44027777777777782</v>
      </c>
      <c r="J26" s="74">
        <f t="shared" si="50"/>
        <v>0.48194444444444484</v>
      </c>
      <c r="K26" s="74">
        <f t="shared" si="50"/>
        <v>0.52361111111111081</v>
      </c>
      <c r="L26" s="74">
        <f t="shared" si="50"/>
        <v>0.56527777777777777</v>
      </c>
      <c r="M26" s="74">
        <f t="shared" si="50"/>
        <v>0.60694444444444484</v>
      </c>
      <c r="N26" s="74">
        <f t="shared" si="50"/>
        <v>0.64861111111111081</v>
      </c>
      <c r="O26" s="74">
        <f t="shared" si="50"/>
        <v>0.69027777777777777</v>
      </c>
      <c r="P26" s="74">
        <f t="shared" si="50"/>
        <v>0.73194444444444484</v>
      </c>
      <c r="Q26" s="74">
        <f t="shared" si="50"/>
        <v>0.77361111111111081</v>
      </c>
      <c r="R26" s="74">
        <f t="shared" si="50"/>
        <v>0.81527777777777777</v>
      </c>
      <c r="S26" s="74">
        <f t="shared" si="50"/>
        <v>0.85694444444444484</v>
      </c>
      <c r="T26" s="74"/>
      <c r="U26" s="103"/>
    </row>
    <row r="27" spans="1:22" s="3" customFormat="1" ht="15" customHeight="1" x14ac:dyDescent="0.3">
      <c r="A27" s="102">
        <v>24</v>
      </c>
      <c r="B27" s="97" t="s">
        <v>48</v>
      </c>
      <c r="C27" s="96"/>
      <c r="D27" s="90" t="s">
        <v>14</v>
      </c>
      <c r="E27" s="90" t="s">
        <v>14</v>
      </c>
      <c r="F27" s="90" t="s">
        <v>14</v>
      </c>
      <c r="G27" s="90" t="s">
        <v>14</v>
      </c>
      <c r="H27" s="90" t="s">
        <v>14</v>
      </c>
      <c r="I27" s="90" t="s">
        <v>14</v>
      </c>
      <c r="J27" s="90" t="s">
        <v>14</v>
      </c>
      <c r="K27" s="90" t="s">
        <v>14</v>
      </c>
      <c r="L27" s="90" t="s">
        <v>14</v>
      </c>
      <c r="M27" s="90" t="s">
        <v>14</v>
      </c>
      <c r="N27" s="90" t="s">
        <v>14</v>
      </c>
      <c r="O27" s="90" t="s">
        <v>14</v>
      </c>
      <c r="P27" s="90" t="s">
        <v>14</v>
      </c>
      <c r="Q27" s="90" t="s">
        <v>14</v>
      </c>
      <c r="R27" s="90" t="s">
        <v>14</v>
      </c>
      <c r="S27" s="90" t="s">
        <v>14</v>
      </c>
      <c r="T27" s="90"/>
      <c r="U27" s="143"/>
    </row>
    <row r="28" spans="1:22" s="3" customFormat="1" ht="15" customHeight="1" x14ac:dyDescent="0.3">
      <c r="A28" s="102">
        <v>25</v>
      </c>
      <c r="B28" s="97" t="s">
        <v>60</v>
      </c>
      <c r="C28" s="96"/>
      <c r="D28" s="90" t="s">
        <v>14</v>
      </c>
      <c r="E28" s="90" t="s">
        <v>14</v>
      </c>
      <c r="F28" s="90" t="s">
        <v>14</v>
      </c>
      <c r="G28" s="90" t="s">
        <v>14</v>
      </c>
      <c r="H28" s="90" t="s">
        <v>14</v>
      </c>
      <c r="I28" s="90" t="s">
        <v>14</v>
      </c>
      <c r="J28" s="90" t="s">
        <v>14</v>
      </c>
      <c r="K28" s="90" t="s">
        <v>14</v>
      </c>
      <c r="L28" s="90" t="s">
        <v>14</v>
      </c>
      <c r="M28" s="90" t="s">
        <v>14</v>
      </c>
      <c r="N28" s="90" t="s">
        <v>14</v>
      </c>
      <c r="O28" s="90" t="s">
        <v>14</v>
      </c>
      <c r="P28" s="90" t="s">
        <v>14</v>
      </c>
      <c r="Q28" s="90" t="s">
        <v>14</v>
      </c>
      <c r="R28" s="90" t="s">
        <v>14</v>
      </c>
      <c r="S28" s="90" t="s">
        <v>14</v>
      </c>
      <c r="T28" s="90"/>
      <c r="U28" s="143"/>
    </row>
    <row r="29" spans="1:22" s="3" customFormat="1" ht="14.25" customHeight="1" thickBot="1" x14ac:dyDescent="0.35">
      <c r="A29" s="102">
        <v>26</v>
      </c>
      <c r="B29" s="105" t="s">
        <v>59</v>
      </c>
      <c r="C29" s="106" t="s">
        <v>84</v>
      </c>
      <c r="D29" s="107">
        <f>D26+"0:02"</f>
        <v>0.23333333333333325</v>
      </c>
      <c r="E29" s="107">
        <f t="shared" ref="E29:S29" si="51">E26+"0:02"</f>
        <v>0.27499999999999991</v>
      </c>
      <c r="F29" s="107">
        <f t="shared" si="51"/>
        <v>0.31666666666666671</v>
      </c>
      <c r="G29" s="107">
        <f t="shared" si="51"/>
        <v>0.35833333333333373</v>
      </c>
      <c r="H29" s="107">
        <f t="shared" si="51"/>
        <v>0.39999999999999969</v>
      </c>
      <c r="I29" s="107">
        <f t="shared" si="51"/>
        <v>0.44166666666666671</v>
      </c>
      <c r="J29" s="107">
        <f t="shared" si="51"/>
        <v>0.48333333333333373</v>
      </c>
      <c r="K29" s="107">
        <f t="shared" si="51"/>
        <v>0.52499999999999969</v>
      </c>
      <c r="L29" s="107">
        <f t="shared" si="51"/>
        <v>0.56666666666666665</v>
      </c>
      <c r="M29" s="107">
        <f t="shared" si="51"/>
        <v>0.60833333333333373</v>
      </c>
      <c r="N29" s="107">
        <f t="shared" si="51"/>
        <v>0.64999999999999969</v>
      </c>
      <c r="O29" s="107">
        <f t="shared" si="51"/>
        <v>0.69166666666666665</v>
      </c>
      <c r="P29" s="107">
        <f t="shared" si="51"/>
        <v>0.73333333333333373</v>
      </c>
      <c r="Q29" s="107">
        <f t="shared" si="51"/>
        <v>0.77499999999999969</v>
      </c>
      <c r="R29" s="107">
        <f t="shared" si="51"/>
        <v>0.81666666666666665</v>
      </c>
      <c r="S29" s="107">
        <f t="shared" si="51"/>
        <v>0.85833333333333373</v>
      </c>
      <c r="T29" s="107"/>
      <c r="U29" s="108"/>
    </row>
    <row r="30" spans="1:22" s="29" customFormat="1" ht="13.8" thickBot="1" x14ac:dyDescent="0.35">
      <c r="B30" s="13" t="s">
        <v>2</v>
      </c>
      <c r="C30" s="91"/>
      <c r="D30" s="88">
        <v>9.5</v>
      </c>
      <c r="E30" s="88">
        <v>9.5</v>
      </c>
      <c r="F30" s="88">
        <v>9.5</v>
      </c>
      <c r="G30" s="88">
        <v>9.5</v>
      </c>
      <c r="H30" s="88">
        <v>9.5</v>
      </c>
      <c r="I30" s="88">
        <v>9.5</v>
      </c>
      <c r="J30" s="88">
        <v>9.5</v>
      </c>
      <c r="K30" s="88">
        <v>9.5</v>
      </c>
      <c r="L30" s="88">
        <v>9.5</v>
      </c>
      <c r="M30" s="88">
        <v>9.5</v>
      </c>
      <c r="N30" s="88">
        <v>9.5</v>
      </c>
      <c r="O30" s="88">
        <v>9.5</v>
      </c>
      <c r="P30" s="88">
        <v>9.5</v>
      </c>
      <c r="Q30" s="88">
        <v>9.5</v>
      </c>
      <c r="R30" s="88">
        <v>9.5</v>
      </c>
      <c r="S30" s="88">
        <v>9.5</v>
      </c>
      <c r="T30" s="88">
        <v>4.9000000000000004</v>
      </c>
      <c r="U30" s="89">
        <v>4.9000000000000004</v>
      </c>
      <c r="V30" s="37">
        <f>SUM(C30:U30)</f>
        <v>161.80000000000001</v>
      </c>
    </row>
    <row r="31" spans="1:22" s="3" customFormat="1" x14ac:dyDescent="0.3">
      <c r="C31" s="14"/>
    </row>
    <row r="32" spans="1:22" s="3" customFormat="1" ht="87.75" customHeight="1" x14ac:dyDescent="0.3">
      <c r="C32" s="14"/>
    </row>
    <row r="33" spans="1:27" s="3" customFormat="1" x14ac:dyDescent="0.3">
      <c r="C33" s="14"/>
    </row>
    <row r="34" spans="1:27" s="18" customFormat="1" ht="18" customHeight="1" x14ac:dyDescent="0.3">
      <c r="A34" s="8" t="s">
        <v>10</v>
      </c>
      <c r="B34" s="8"/>
      <c r="C34" s="23"/>
      <c r="D34" s="23"/>
      <c r="E34" s="28" t="s">
        <v>89</v>
      </c>
    </row>
    <row r="35" spans="1:27" s="18" customFormat="1" ht="15" customHeight="1" thickBot="1" x14ac:dyDescent="0.35">
      <c r="A35" s="8"/>
      <c r="B35" s="66" t="s">
        <v>15</v>
      </c>
    </row>
    <row r="36" spans="1:27" s="18" customFormat="1" ht="15" customHeight="1" x14ac:dyDescent="0.3">
      <c r="A36" s="135" t="s">
        <v>1</v>
      </c>
      <c r="B36" s="110"/>
      <c r="C36" s="136"/>
      <c r="D36" s="36">
        <v>2</v>
      </c>
      <c r="E36" s="36">
        <f>D36+2</f>
        <v>4</v>
      </c>
      <c r="F36" s="36">
        <f t="shared" ref="F36:AA36" si="52">E36+2</f>
        <v>6</v>
      </c>
      <c r="G36" s="36">
        <f t="shared" si="52"/>
        <v>8</v>
      </c>
      <c r="H36" s="36">
        <f t="shared" si="52"/>
        <v>10</v>
      </c>
      <c r="I36" s="36">
        <f t="shared" si="52"/>
        <v>12</v>
      </c>
      <c r="J36" s="36">
        <f t="shared" si="52"/>
        <v>14</v>
      </c>
      <c r="K36" s="36">
        <f t="shared" si="52"/>
        <v>16</v>
      </c>
      <c r="L36" s="36">
        <f t="shared" si="52"/>
        <v>18</v>
      </c>
      <c r="M36" s="36">
        <f t="shared" si="52"/>
        <v>20</v>
      </c>
      <c r="N36" s="36">
        <f t="shared" si="52"/>
        <v>22</v>
      </c>
      <c r="O36" s="36">
        <f t="shared" si="52"/>
        <v>24</v>
      </c>
      <c r="P36" s="36">
        <f t="shared" si="52"/>
        <v>26</v>
      </c>
      <c r="Q36" s="36">
        <f t="shared" si="52"/>
        <v>28</v>
      </c>
      <c r="R36" s="36">
        <f t="shared" si="52"/>
        <v>30</v>
      </c>
      <c r="S36" s="36">
        <f t="shared" si="52"/>
        <v>32</v>
      </c>
      <c r="T36" s="36">
        <f t="shared" si="52"/>
        <v>34</v>
      </c>
      <c r="U36" s="36">
        <f t="shared" si="52"/>
        <v>36</v>
      </c>
      <c r="V36" s="36">
        <f t="shared" si="52"/>
        <v>38</v>
      </c>
      <c r="W36" s="36">
        <f t="shared" si="52"/>
        <v>40</v>
      </c>
      <c r="X36" s="36">
        <f t="shared" si="52"/>
        <v>42</v>
      </c>
      <c r="Y36" s="36">
        <f t="shared" si="52"/>
        <v>44</v>
      </c>
      <c r="Z36" s="36">
        <f t="shared" si="52"/>
        <v>46</v>
      </c>
      <c r="AA36" s="137">
        <f t="shared" si="52"/>
        <v>48</v>
      </c>
    </row>
    <row r="37" spans="1:27" s="18" customFormat="1" ht="15" customHeight="1" x14ac:dyDescent="0.3">
      <c r="A37" s="114">
        <v>22</v>
      </c>
      <c r="B37" s="95" t="s">
        <v>59</v>
      </c>
      <c r="C37" s="60" t="s">
        <v>83</v>
      </c>
      <c r="D37" s="81">
        <v>0.22222222222222221</v>
      </c>
      <c r="E37" s="81">
        <v>0.25</v>
      </c>
      <c r="F37" s="81">
        <v>0.26388888888888901</v>
      </c>
      <c r="G37" s="81">
        <v>0.29166666666666669</v>
      </c>
      <c r="H37" s="81">
        <v>0.30555555555555602</v>
      </c>
      <c r="I37" s="81">
        <v>0.31180555555555556</v>
      </c>
      <c r="J37" s="81">
        <v>0.34722222222222199</v>
      </c>
      <c r="K37" s="81">
        <v>0.38888888888888901</v>
      </c>
      <c r="L37" s="81">
        <v>0.43055555555555602</v>
      </c>
      <c r="M37" s="81">
        <v>0.47222222222222199</v>
      </c>
      <c r="N37" s="81">
        <v>0.51388888888888895</v>
      </c>
      <c r="O37" s="81">
        <v>0.55555555555555602</v>
      </c>
      <c r="P37" s="81">
        <v>0.59722222222222199</v>
      </c>
      <c r="Q37" s="81">
        <v>0.625</v>
      </c>
      <c r="R37" s="81">
        <v>0.63888888888888895</v>
      </c>
      <c r="S37" s="81">
        <v>0.66666666666666663</v>
      </c>
      <c r="T37" s="81">
        <v>0.68055555555555602</v>
      </c>
      <c r="U37" s="81">
        <v>0.70833333333333337</v>
      </c>
      <c r="V37" s="81">
        <v>0.72222222222222199</v>
      </c>
      <c r="W37" s="81">
        <v>0.75</v>
      </c>
      <c r="X37" s="81">
        <v>0.76388888888888895</v>
      </c>
      <c r="Y37" s="81"/>
      <c r="Z37" s="81"/>
      <c r="AA37" s="138"/>
    </row>
    <row r="38" spans="1:27" s="18" customFormat="1" ht="15" customHeight="1" x14ac:dyDescent="0.3">
      <c r="A38" s="114">
        <v>21</v>
      </c>
      <c r="B38" s="95" t="s">
        <v>64</v>
      </c>
      <c r="C38" s="60"/>
      <c r="D38" s="74">
        <f>D37+"0:02"</f>
        <v>0.22361111111111109</v>
      </c>
      <c r="E38" s="74">
        <f t="shared" ref="E38:G38" si="53">E37+"0:02"</f>
        <v>0.25138888888888888</v>
      </c>
      <c r="F38" s="74">
        <f t="shared" ref="F38:X38" si="54">F37+"0:02"</f>
        <v>0.26527777777777789</v>
      </c>
      <c r="G38" s="74">
        <f t="shared" si="53"/>
        <v>0.29305555555555557</v>
      </c>
      <c r="H38" s="74">
        <f t="shared" si="54"/>
        <v>0.30694444444444491</v>
      </c>
      <c r="I38" s="74">
        <f t="shared" si="54"/>
        <v>0.31319444444444444</v>
      </c>
      <c r="J38" s="74">
        <f t="shared" si="54"/>
        <v>0.34861111111111087</v>
      </c>
      <c r="K38" s="74">
        <f t="shared" si="54"/>
        <v>0.39027777777777789</v>
      </c>
      <c r="L38" s="74">
        <f t="shared" si="54"/>
        <v>0.43194444444444491</v>
      </c>
      <c r="M38" s="74">
        <f t="shared" si="54"/>
        <v>0.47361111111111087</v>
      </c>
      <c r="N38" s="74">
        <f t="shared" si="54"/>
        <v>0.51527777777777783</v>
      </c>
      <c r="O38" s="74">
        <f t="shared" si="54"/>
        <v>0.55694444444444491</v>
      </c>
      <c r="P38" s="74">
        <f t="shared" si="54"/>
        <v>0.59861111111111087</v>
      </c>
      <c r="Q38" s="74">
        <f t="shared" ref="Q38:X39" si="55">Q37+"0:02"</f>
        <v>0.62638888888888888</v>
      </c>
      <c r="R38" s="74">
        <f t="shared" si="54"/>
        <v>0.64027777777777783</v>
      </c>
      <c r="S38" s="74">
        <f t="shared" ref="S38:U38" si="56">S37+"0:02"</f>
        <v>0.66805555555555551</v>
      </c>
      <c r="T38" s="74">
        <f t="shared" si="54"/>
        <v>0.68194444444444491</v>
      </c>
      <c r="U38" s="74">
        <f t="shared" si="56"/>
        <v>0.70972222222222225</v>
      </c>
      <c r="V38" s="74">
        <f t="shared" si="54"/>
        <v>0.72361111111111087</v>
      </c>
      <c r="W38" s="74">
        <f t="shared" si="54"/>
        <v>0.75138888888888888</v>
      </c>
      <c r="X38" s="74">
        <f t="shared" si="54"/>
        <v>0.76527777777777783</v>
      </c>
      <c r="Y38" s="74"/>
      <c r="Z38" s="74"/>
      <c r="AA38" s="103"/>
    </row>
    <row r="39" spans="1:27" s="18" customFormat="1" ht="15" customHeight="1" x14ac:dyDescent="0.3">
      <c r="A39" s="114">
        <v>20</v>
      </c>
      <c r="B39" s="95" t="s">
        <v>65</v>
      </c>
      <c r="C39" s="60"/>
      <c r="D39" s="74">
        <f>D38+"0:02"</f>
        <v>0.22499999999999998</v>
      </c>
      <c r="E39" s="74">
        <f t="shared" ref="E39:P39" si="57">E38+"0:02"</f>
        <v>0.25277777777777777</v>
      </c>
      <c r="F39" s="74">
        <f t="shared" si="57"/>
        <v>0.26666666666666677</v>
      </c>
      <c r="G39" s="74">
        <f t="shared" si="57"/>
        <v>0.29444444444444445</v>
      </c>
      <c r="H39" s="74">
        <f t="shared" si="57"/>
        <v>0.30833333333333379</v>
      </c>
      <c r="I39" s="74">
        <f t="shared" si="57"/>
        <v>0.31458333333333333</v>
      </c>
      <c r="J39" s="74">
        <f t="shared" si="57"/>
        <v>0.34999999999999976</v>
      </c>
      <c r="K39" s="74">
        <f t="shared" si="57"/>
        <v>0.39166666666666677</v>
      </c>
      <c r="L39" s="74">
        <f t="shared" si="57"/>
        <v>0.43333333333333379</v>
      </c>
      <c r="M39" s="74">
        <f t="shared" si="57"/>
        <v>0.47499999999999976</v>
      </c>
      <c r="N39" s="74">
        <f t="shared" si="57"/>
        <v>0.51666666666666672</v>
      </c>
      <c r="O39" s="74">
        <f t="shared" si="57"/>
        <v>0.55833333333333379</v>
      </c>
      <c r="P39" s="74">
        <f t="shared" si="57"/>
        <v>0.59999999999999976</v>
      </c>
      <c r="Q39" s="74">
        <f t="shared" si="55"/>
        <v>0.62777777777777777</v>
      </c>
      <c r="R39" s="74">
        <f t="shared" si="55"/>
        <v>0.64166666666666672</v>
      </c>
      <c r="S39" s="74">
        <f t="shared" si="55"/>
        <v>0.6694444444444444</v>
      </c>
      <c r="T39" s="74">
        <f t="shared" si="55"/>
        <v>0.68333333333333379</v>
      </c>
      <c r="U39" s="74">
        <f t="shared" si="55"/>
        <v>0.71111111111111114</v>
      </c>
      <c r="V39" s="74">
        <f t="shared" si="55"/>
        <v>0.72499999999999976</v>
      </c>
      <c r="W39" s="74">
        <f t="shared" ref="W39" si="58">W38+"0:02"</f>
        <v>0.75277777777777777</v>
      </c>
      <c r="X39" s="74">
        <f t="shared" si="55"/>
        <v>0.76666666666666672</v>
      </c>
      <c r="Y39" s="74"/>
      <c r="Z39" s="74"/>
      <c r="AA39" s="103"/>
    </row>
    <row r="40" spans="1:27" s="18" customFormat="1" ht="15" customHeight="1" x14ac:dyDescent="0.3">
      <c r="A40" s="114">
        <v>19</v>
      </c>
      <c r="B40" s="95" t="s">
        <v>66</v>
      </c>
      <c r="C40" s="60"/>
      <c r="D40" s="74">
        <f>D39+"0:01"</f>
        <v>0.22569444444444442</v>
      </c>
      <c r="E40" s="74">
        <f t="shared" ref="E40:X41" si="59">E39+"0:01"</f>
        <v>0.25347222222222221</v>
      </c>
      <c r="F40" s="74">
        <f t="shared" si="59"/>
        <v>0.26736111111111122</v>
      </c>
      <c r="G40" s="74">
        <f t="shared" si="59"/>
        <v>0.2951388888888889</v>
      </c>
      <c r="H40" s="74">
        <f t="shared" si="59"/>
        <v>0.30902777777777823</v>
      </c>
      <c r="I40" s="74">
        <f t="shared" si="59"/>
        <v>0.31527777777777777</v>
      </c>
      <c r="J40" s="74">
        <f t="shared" si="59"/>
        <v>0.3506944444444442</v>
      </c>
      <c r="K40" s="74">
        <f t="shared" si="59"/>
        <v>0.39236111111111122</v>
      </c>
      <c r="L40" s="74">
        <f t="shared" si="59"/>
        <v>0.43402777777777823</v>
      </c>
      <c r="M40" s="74">
        <f t="shared" si="59"/>
        <v>0.4756944444444442</v>
      </c>
      <c r="N40" s="74">
        <f t="shared" si="59"/>
        <v>0.51736111111111116</v>
      </c>
      <c r="O40" s="74">
        <f t="shared" si="59"/>
        <v>0.55902777777777823</v>
      </c>
      <c r="P40" s="74">
        <f t="shared" si="59"/>
        <v>0.6006944444444442</v>
      </c>
      <c r="Q40" s="74">
        <f t="shared" si="59"/>
        <v>0.62847222222222221</v>
      </c>
      <c r="R40" s="74">
        <f t="shared" si="59"/>
        <v>0.64236111111111116</v>
      </c>
      <c r="S40" s="74">
        <f t="shared" si="59"/>
        <v>0.67013888888888884</v>
      </c>
      <c r="T40" s="74">
        <f t="shared" si="59"/>
        <v>0.68402777777777823</v>
      </c>
      <c r="U40" s="74">
        <f t="shared" si="59"/>
        <v>0.71180555555555558</v>
      </c>
      <c r="V40" s="74">
        <f t="shared" si="59"/>
        <v>0.7256944444444442</v>
      </c>
      <c r="W40" s="74">
        <f t="shared" si="59"/>
        <v>0.75347222222222221</v>
      </c>
      <c r="X40" s="74">
        <f t="shared" si="59"/>
        <v>0.76736111111111116</v>
      </c>
      <c r="Y40" s="74"/>
      <c r="Z40" s="74"/>
      <c r="AA40" s="103"/>
    </row>
    <row r="41" spans="1:27" s="18" customFormat="1" ht="15" customHeight="1" x14ac:dyDescent="0.3">
      <c r="A41" s="114">
        <v>18</v>
      </c>
      <c r="B41" s="95" t="s">
        <v>47</v>
      </c>
      <c r="C41" s="60"/>
      <c r="D41" s="74">
        <f>D40+"0:01"</f>
        <v>0.22638888888888886</v>
      </c>
      <c r="E41" s="74">
        <f t="shared" si="59"/>
        <v>0.25416666666666665</v>
      </c>
      <c r="F41" s="74">
        <f t="shared" si="59"/>
        <v>0.26805555555555566</v>
      </c>
      <c r="G41" s="74">
        <f t="shared" si="59"/>
        <v>0.29583333333333334</v>
      </c>
      <c r="H41" s="74">
        <f t="shared" si="59"/>
        <v>0.30972222222222268</v>
      </c>
      <c r="I41" s="74">
        <f t="shared" si="59"/>
        <v>0.31597222222222221</v>
      </c>
      <c r="J41" s="74">
        <f t="shared" si="59"/>
        <v>0.35138888888888864</v>
      </c>
      <c r="K41" s="74">
        <f t="shared" si="59"/>
        <v>0.39305555555555566</v>
      </c>
      <c r="L41" s="74">
        <f t="shared" si="59"/>
        <v>0.43472222222222268</v>
      </c>
      <c r="M41" s="74">
        <f t="shared" si="59"/>
        <v>0.47638888888888864</v>
      </c>
      <c r="N41" s="74">
        <f t="shared" si="59"/>
        <v>0.5180555555555556</v>
      </c>
      <c r="O41" s="74">
        <f t="shared" si="59"/>
        <v>0.55972222222222268</v>
      </c>
      <c r="P41" s="74">
        <f t="shared" si="59"/>
        <v>0.60138888888888864</v>
      </c>
      <c r="Q41" s="74">
        <f t="shared" si="59"/>
        <v>0.62916666666666665</v>
      </c>
      <c r="R41" s="74">
        <f t="shared" si="59"/>
        <v>0.6430555555555556</v>
      </c>
      <c r="S41" s="74">
        <f t="shared" si="59"/>
        <v>0.67083333333333328</v>
      </c>
      <c r="T41" s="74">
        <f t="shared" si="59"/>
        <v>0.68472222222222268</v>
      </c>
      <c r="U41" s="74">
        <f t="shared" si="59"/>
        <v>0.71250000000000002</v>
      </c>
      <c r="V41" s="74">
        <f t="shared" si="59"/>
        <v>0.72638888888888864</v>
      </c>
      <c r="W41" s="74">
        <f t="shared" si="59"/>
        <v>0.75416666666666665</v>
      </c>
      <c r="X41" s="74">
        <f t="shared" si="59"/>
        <v>0.7680555555555556</v>
      </c>
      <c r="Y41" s="74"/>
      <c r="Z41" s="74"/>
      <c r="AA41" s="103"/>
    </row>
    <row r="42" spans="1:27" s="18" customFormat="1" ht="15" customHeight="1" x14ac:dyDescent="0.3">
      <c r="A42" s="114">
        <v>17</v>
      </c>
      <c r="B42" s="95" t="s">
        <v>46</v>
      </c>
      <c r="C42" s="60"/>
      <c r="D42" s="74">
        <f>D41+"0:01"</f>
        <v>0.2270833333333333</v>
      </c>
      <c r="E42" s="74">
        <f t="shared" ref="E42:G42" si="60">E41+"0:01"</f>
        <v>0.25486111111111109</v>
      </c>
      <c r="F42" s="74">
        <f t="shared" ref="F42:X42" si="61">F41+"0:01"</f>
        <v>0.2687500000000001</v>
      </c>
      <c r="G42" s="74">
        <f t="shared" si="60"/>
        <v>0.29652777777777778</v>
      </c>
      <c r="H42" s="74">
        <f t="shared" si="61"/>
        <v>0.31041666666666712</v>
      </c>
      <c r="I42" s="74">
        <f t="shared" si="61"/>
        <v>0.31666666666666665</v>
      </c>
      <c r="J42" s="74">
        <f t="shared" si="61"/>
        <v>0.35208333333333308</v>
      </c>
      <c r="K42" s="74">
        <f t="shared" si="61"/>
        <v>0.3937500000000001</v>
      </c>
      <c r="L42" s="74">
        <f t="shared" si="61"/>
        <v>0.43541666666666712</v>
      </c>
      <c r="M42" s="74">
        <f t="shared" si="61"/>
        <v>0.47708333333333308</v>
      </c>
      <c r="N42" s="74">
        <f t="shared" si="61"/>
        <v>0.51875000000000004</v>
      </c>
      <c r="O42" s="74">
        <f t="shared" si="61"/>
        <v>0.56041666666666712</v>
      </c>
      <c r="P42" s="74">
        <f t="shared" si="61"/>
        <v>0.60208333333333308</v>
      </c>
      <c r="Q42" s="74">
        <f t="shared" ref="Q42" si="62">Q41+"0:01"</f>
        <v>0.62986111111111109</v>
      </c>
      <c r="R42" s="74">
        <f t="shared" si="61"/>
        <v>0.64375000000000004</v>
      </c>
      <c r="S42" s="74">
        <f t="shared" ref="S42:U42" si="63">S41+"0:01"</f>
        <v>0.67152777777777772</v>
      </c>
      <c r="T42" s="74">
        <f t="shared" si="61"/>
        <v>0.68541666666666712</v>
      </c>
      <c r="U42" s="74">
        <f t="shared" si="63"/>
        <v>0.71319444444444446</v>
      </c>
      <c r="V42" s="74">
        <f t="shared" si="61"/>
        <v>0.72708333333333308</v>
      </c>
      <c r="W42" s="74">
        <f t="shared" si="61"/>
        <v>0.75486111111111109</v>
      </c>
      <c r="X42" s="74">
        <f t="shared" si="61"/>
        <v>0.76875000000000004</v>
      </c>
      <c r="Y42" s="74"/>
      <c r="Z42" s="74"/>
      <c r="AA42" s="103"/>
    </row>
    <row r="43" spans="1:27" s="18" customFormat="1" ht="15" customHeight="1" x14ac:dyDescent="0.3">
      <c r="A43" s="114">
        <v>16</v>
      </c>
      <c r="B43" s="95" t="s">
        <v>45</v>
      </c>
      <c r="C43" s="60"/>
      <c r="D43" s="74">
        <f t="shared" ref="D43:X44" si="64">D42+"0:02"</f>
        <v>0.22847222222222219</v>
      </c>
      <c r="E43" s="74">
        <f t="shared" ref="E43:G43" si="65">E42+"0:02"</f>
        <v>0.25624999999999998</v>
      </c>
      <c r="F43" s="74">
        <f t="shared" si="64"/>
        <v>0.27013888888888898</v>
      </c>
      <c r="G43" s="74">
        <f t="shared" si="65"/>
        <v>0.29791666666666666</v>
      </c>
      <c r="H43" s="74">
        <f t="shared" si="64"/>
        <v>0.311805555555556</v>
      </c>
      <c r="I43" s="74">
        <f t="shared" ref="I43" si="66">I42+"0:02"</f>
        <v>0.31805555555555554</v>
      </c>
      <c r="J43" s="74">
        <f t="shared" si="64"/>
        <v>0.35347222222222197</v>
      </c>
      <c r="K43" s="74">
        <f t="shared" si="64"/>
        <v>0.39513888888888898</v>
      </c>
      <c r="L43" s="74">
        <f t="shared" si="64"/>
        <v>0.436805555555556</v>
      </c>
      <c r="M43" s="74">
        <f t="shared" si="64"/>
        <v>0.47847222222222197</v>
      </c>
      <c r="N43" s="74">
        <f t="shared" si="64"/>
        <v>0.52013888888888893</v>
      </c>
      <c r="O43" s="74">
        <f t="shared" si="64"/>
        <v>0.561805555555556</v>
      </c>
      <c r="P43" s="74">
        <f t="shared" si="64"/>
        <v>0.60347222222222197</v>
      </c>
      <c r="Q43" s="74">
        <f t="shared" ref="Q43" si="67">Q42+"0:02"</f>
        <v>0.63124999999999998</v>
      </c>
      <c r="R43" s="74">
        <f t="shared" si="64"/>
        <v>0.64513888888888893</v>
      </c>
      <c r="S43" s="74">
        <f t="shared" ref="S43:U43" si="68">S42+"0:02"</f>
        <v>0.67291666666666661</v>
      </c>
      <c r="T43" s="74">
        <f t="shared" si="64"/>
        <v>0.686805555555556</v>
      </c>
      <c r="U43" s="74">
        <f t="shared" si="68"/>
        <v>0.71458333333333335</v>
      </c>
      <c r="V43" s="74">
        <f t="shared" si="64"/>
        <v>0.72847222222222197</v>
      </c>
      <c r="W43" s="74">
        <f t="shared" si="64"/>
        <v>0.75624999999999998</v>
      </c>
      <c r="X43" s="74">
        <f t="shared" si="64"/>
        <v>0.77013888888888893</v>
      </c>
      <c r="Y43" s="74"/>
      <c r="Z43" s="74"/>
      <c r="AA43" s="103"/>
    </row>
    <row r="44" spans="1:27" s="18" customFormat="1" ht="15" customHeight="1" x14ac:dyDescent="0.3">
      <c r="A44" s="114">
        <v>15</v>
      </c>
      <c r="B44" s="95" t="s">
        <v>44</v>
      </c>
      <c r="C44" s="60"/>
      <c r="D44" s="74">
        <f t="shared" si="64"/>
        <v>0.22986111111111107</v>
      </c>
      <c r="E44" s="74">
        <f t="shared" si="64"/>
        <v>0.25763888888888886</v>
      </c>
      <c r="F44" s="74">
        <f t="shared" ref="F44:X44" si="69">F43+"0:02"</f>
        <v>0.27152777777777787</v>
      </c>
      <c r="G44" s="74">
        <f t="shared" si="69"/>
        <v>0.29930555555555555</v>
      </c>
      <c r="H44" s="74">
        <f t="shared" si="69"/>
        <v>0.31319444444444489</v>
      </c>
      <c r="I44" s="74">
        <f t="shared" ref="I44" si="70">I43+"0:02"</f>
        <v>0.31944444444444442</v>
      </c>
      <c r="J44" s="74">
        <f t="shared" si="69"/>
        <v>0.35486111111111085</v>
      </c>
      <c r="K44" s="74">
        <f t="shared" si="69"/>
        <v>0.39652777777777787</v>
      </c>
      <c r="L44" s="74">
        <f t="shared" si="69"/>
        <v>0.43819444444444489</v>
      </c>
      <c r="M44" s="74">
        <f t="shared" si="69"/>
        <v>0.47986111111111085</v>
      </c>
      <c r="N44" s="74">
        <f t="shared" si="69"/>
        <v>0.52152777777777781</v>
      </c>
      <c r="O44" s="74">
        <f t="shared" si="69"/>
        <v>0.56319444444444489</v>
      </c>
      <c r="P44" s="74">
        <f t="shared" si="69"/>
        <v>0.60486111111111085</v>
      </c>
      <c r="Q44" s="74">
        <f t="shared" ref="Q44" si="71">Q43+"0:02"</f>
        <v>0.63263888888888886</v>
      </c>
      <c r="R44" s="74">
        <f t="shared" si="69"/>
        <v>0.64652777777777781</v>
      </c>
      <c r="S44" s="74">
        <f t="shared" ref="S44:U44" si="72">S43+"0:02"</f>
        <v>0.67430555555555549</v>
      </c>
      <c r="T44" s="74">
        <f t="shared" si="69"/>
        <v>0.68819444444444489</v>
      </c>
      <c r="U44" s="74">
        <f t="shared" si="72"/>
        <v>0.71597222222222223</v>
      </c>
      <c r="V44" s="74">
        <f t="shared" si="69"/>
        <v>0.72986111111111085</v>
      </c>
      <c r="W44" s="74">
        <f t="shared" si="69"/>
        <v>0.75763888888888886</v>
      </c>
      <c r="X44" s="74">
        <f t="shared" si="69"/>
        <v>0.77152777777777781</v>
      </c>
      <c r="Y44" s="74"/>
      <c r="Z44" s="74"/>
      <c r="AA44" s="103"/>
    </row>
    <row r="45" spans="1:27" s="18" customFormat="1" ht="15" customHeight="1" x14ac:dyDescent="0.3">
      <c r="A45" s="114">
        <v>14</v>
      </c>
      <c r="B45" s="97" t="s">
        <v>97</v>
      </c>
      <c r="C45" s="60" t="s">
        <v>84</v>
      </c>
      <c r="D45" s="74">
        <f>D44+"0:03"</f>
        <v>0.2319444444444444</v>
      </c>
      <c r="E45" s="74">
        <f t="shared" ref="E45:G45" si="73">E44+"0:03"</f>
        <v>0.25972222222222219</v>
      </c>
      <c r="F45" s="74">
        <f t="shared" ref="F45:X45" si="74">F44+"0:03"</f>
        <v>0.27361111111111119</v>
      </c>
      <c r="G45" s="74">
        <f t="shared" si="73"/>
        <v>0.30138888888888887</v>
      </c>
      <c r="H45" s="74">
        <f t="shared" si="74"/>
        <v>0.31527777777777821</v>
      </c>
      <c r="I45" s="74">
        <f t="shared" si="74"/>
        <v>0.32152777777777775</v>
      </c>
      <c r="J45" s="74">
        <f t="shared" si="74"/>
        <v>0.35694444444444418</v>
      </c>
      <c r="K45" s="74">
        <f t="shared" si="74"/>
        <v>0.39861111111111119</v>
      </c>
      <c r="L45" s="74">
        <f t="shared" si="74"/>
        <v>0.44027777777777821</v>
      </c>
      <c r="M45" s="74">
        <f t="shared" si="74"/>
        <v>0.48194444444444418</v>
      </c>
      <c r="N45" s="74">
        <f t="shared" si="74"/>
        <v>0.52361111111111114</v>
      </c>
      <c r="O45" s="74">
        <f t="shared" si="74"/>
        <v>0.56527777777777821</v>
      </c>
      <c r="P45" s="74">
        <f t="shared" si="74"/>
        <v>0.60694444444444418</v>
      </c>
      <c r="Q45" s="74">
        <f t="shared" ref="Q45" si="75">Q44+"0:03"</f>
        <v>0.63472222222222219</v>
      </c>
      <c r="R45" s="74">
        <f t="shared" si="74"/>
        <v>0.64861111111111114</v>
      </c>
      <c r="S45" s="74">
        <f t="shared" ref="S45:U45" si="76">S44+"0:03"</f>
        <v>0.67638888888888882</v>
      </c>
      <c r="T45" s="74">
        <f t="shared" si="74"/>
        <v>0.69027777777777821</v>
      </c>
      <c r="U45" s="74">
        <f t="shared" si="76"/>
        <v>0.71805555555555556</v>
      </c>
      <c r="V45" s="74">
        <f t="shared" si="74"/>
        <v>0.73194444444444418</v>
      </c>
      <c r="W45" s="74">
        <f t="shared" si="74"/>
        <v>0.75972222222222219</v>
      </c>
      <c r="X45" s="74">
        <f t="shared" si="74"/>
        <v>0.77361111111111114</v>
      </c>
      <c r="Y45" s="152">
        <v>562</v>
      </c>
      <c r="Z45" s="152">
        <v>562</v>
      </c>
      <c r="AA45" s="153">
        <v>562</v>
      </c>
    </row>
    <row r="46" spans="1:27" s="18" customFormat="1" ht="15" customHeight="1" x14ac:dyDescent="0.3">
      <c r="A46" s="114">
        <v>13</v>
      </c>
      <c r="B46" s="97" t="s">
        <v>97</v>
      </c>
      <c r="C46" s="60" t="s">
        <v>83</v>
      </c>
      <c r="D46" s="74">
        <v>0.23402777777777781</v>
      </c>
      <c r="E46" s="74"/>
      <c r="F46" s="74">
        <v>0.27569444444444402</v>
      </c>
      <c r="G46" s="74"/>
      <c r="H46" s="74">
        <v>0.31736111111111098</v>
      </c>
      <c r="I46" s="74"/>
      <c r="J46" s="74">
        <v>0.359027777777778</v>
      </c>
      <c r="K46" s="74">
        <v>0.40069444444444402</v>
      </c>
      <c r="L46" s="74">
        <v>0.44236111111111098</v>
      </c>
      <c r="M46" s="74">
        <v>0.484027777777778</v>
      </c>
      <c r="N46" s="74">
        <v>0.52569444444444402</v>
      </c>
      <c r="O46" s="74">
        <v>0.56736111111111098</v>
      </c>
      <c r="P46" s="74">
        <v>0.60902777777777795</v>
      </c>
      <c r="Q46" s="74"/>
      <c r="R46" s="74">
        <v>0.65069444444444402</v>
      </c>
      <c r="S46" s="74"/>
      <c r="T46" s="74">
        <v>0.69236111111111098</v>
      </c>
      <c r="U46" s="74"/>
      <c r="V46" s="74">
        <v>0.73402777777777795</v>
      </c>
      <c r="W46" s="74"/>
      <c r="X46" s="74">
        <v>0.77569444444444402</v>
      </c>
      <c r="Y46" s="74">
        <v>0.81736111111111109</v>
      </c>
      <c r="Z46" s="74">
        <v>0.85902777777777783</v>
      </c>
      <c r="AA46" s="103">
        <v>0.90069444444444446</v>
      </c>
    </row>
    <row r="47" spans="1:27" s="18" customFormat="1" ht="15" customHeight="1" x14ac:dyDescent="0.3">
      <c r="A47" s="114">
        <v>12</v>
      </c>
      <c r="B47" s="95" t="s">
        <v>40</v>
      </c>
      <c r="C47" s="60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103"/>
    </row>
    <row r="48" spans="1:27" s="18" customFormat="1" ht="15" customHeight="1" x14ac:dyDescent="0.3">
      <c r="A48" s="114">
        <v>11</v>
      </c>
      <c r="B48" s="95" t="s">
        <v>43</v>
      </c>
      <c r="C48" s="60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103"/>
    </row>
    <row r="49" spans="1:30" s="18" customFormat="1" ht="15" customHeight="1" x14ac:dyDescent="0.3">
      <c r="A49" s="114">
        <v>10</v>
      </c>
      <c r="B49" s="95" t="s">
        <v>39</v>
      </c>
      <c r="C49" s="60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103"/>
    </row>
    <row r="50" spans="1:30" s="18" customFormat="1" ht="15" customHeight="1" x14ac:dyDescent="0.3">
      <c r="A50" s="114">
        <v>9</v>
      </c>
      <c r="B50" s="95" t="s">
        <v>54</v>
      </c>
      <c r="C50" s="60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103"/>
    </row>
    <row r="51" spans="1:30" s="18" customFormat="1" ht="15" customHeight="1" x14ac:dyDescent="0.3">
      <c r="A51" s="114">
        <v>8</v>
      </c>
      <c r="B51" s="95" t="s">
        <v>53</v>
      </c>
      <c r="C51" s="60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59"/>
      <c r="Z51" s="59"/>
      <c r="AA51" s="150"/>
    </row>
    <row r="52" spans="1:30" s="18" customFormat="1" ht="15" customHeight="1" x14ac:dyDescent="0.3">
      <c r="A52" s="114">
        <v>7</v>
      </c>
      <c r="B52" s="95" t="s">
        <v>20</v>
      </c>
      <c r="C52" s="60"/>
      <c r="D52" s="74">
        <f>D46+"0:02"</f>
        <v>0.23541666666666669</v>
      </c>
      <c r="E52" s="74"/>
      <c r="F52" s="74">
        <f>F46+"0:02"</f>
        <v>0.2770833333333329</v>
      </c>
      <c r="G52" s="74"/>
      <c r="H52" s="74">
        <f>H46+"0:02"</f>
        <v>0.31874999999999987</v>
      </c>
      <c r="I52" s="59"/>
      <c r="J52" s="74">
        <f t="shared" ref="J52:P52" si="77">J46+"0:02"</f>
        <v>0.36041666666666689</v>
      </c>
      <c r="K52" s="74">
        <f t="shared" si="77"/>
        <v>0.4020833333333329</v>
      </c>
      <c r="L52" s="74">
        <f t="shared" si="77"/>
        <v>0.44374999999999987</v>
      </c>
      <c r="M52" s="74">
        <f t="shared" si="77"/>
        <v>0.48541666666666689</v>
      </c>
      <c r="N52" s="74">
        <f t="shared" si="77"/>
        <v>0.5270833333333329</v>
      </c>
      <c r="O52" s="74">
        <f t="shared" si="77"/>
        <v>0.56874999999999987</v>
      </c>
      <c r="P52" s="74">
        <f t="shared" si="77"/>
        <v>0.61041666666666683</v>
      </c>
      <c r="Q52" s="74"/>
      <c r="R52" s="74">
        <f>R46+"0:02"</f>
        <v>0.6520833333333329</v>
      </c>
      <c r="S52" s="74"/>
      <c r="T52" s="74">
        <f>T46+"0:02"</f>
        <v>0.69374999999999987</v>
      </c>
      <c r="U52" s="74"/>
      <c r="V52" s="74">
        <f>V46+"0:02"</f>
        <v>0.73541666666666683</v>
      </c>
      <c r="W52" s="74"/>
      <c r="X52" s="74">
        <f>X46+"0:02"</f>
        <v>0.7770833333333329</v>
      </c>
      <c r="Y52" s="74">
        <v>0.81874999999999998</v>
      </c>
      <c r="Z52" s="74">
        <v>0.86041666666666705</v>
      </c>
      <c r="AA52" s="103">
        <v>0.90208333333333302</v>
      </c>
      <c r="AB52" s="69"/>
    </row>
    <row r="53" spans="1:30" s="18" customFormat="1" ht="15" customHeight="1" x14ac:dyDescent="0.3">
      <c r="A53" s="114">
        <v>6</v>
      </c>
      <c r="B53" s="95" t="s">
        <v>30</v>
      </c>
      <c r="C53" s="60"/>
      <c r="D53" s="74">
        <f>D52+"0:02"</f>
        <v>0.23680555555555557</v>
      </c>
      <c r="E53" s="74"/>
      <c r="F53" s="74">
        <f t="shared" ref="F53:H54" si="78">F52+"0:02"</f>
        <v>0.27847222222222179</v>
      </c>
      <c r="G53" s="74"/>
      <c r="H53" s="74">
        <f t="shared" si="78"/>
        <v>0.32013888888888875</v>
      </c>
      <c r="I53" s="59"/>
      <c r="J53" s="74">
        <f t="shared" ref="J53:P54" si="79">J52+"0:02"</f>
        <v>0.36180555555555577</v>
      </c>
      <c r="K53" s="74">
        <f t="shared" si="79"/>
        <v>0.40347222222222179</v>
      </c>
      <c r="L53" s="74">
        <f t="shared" si="79"/>
        <v>0.44513888888888875</v>
      </c>
      <c r="M53" s="74">
        <f t="shared" si="79"/>
        <v>0.48680555555555577</v>
      </c>
      <c r="N53" s="74">
        <f t="shared" si="79"/>
        <v>0.52847222222222179</v>
      </c>
      <c r="O53" s="74">
        <f t="shared" si="79"/>
        <v>0.57013888888888875</v>
      </c>
      <c r="P53" s="74">
        <f t="shared" si="79"/>
        <v>0.61180555555555571</v>
      </c>
      <c r="Q53" s="74"/>
      <c r="R53" s="74">
        <f>R52+"0:02"</f>
        <v>0.65347222222222179</v>
      </c>
      <c r="S53" s="74"/>
      <c r="T53" s="74">
        <f>T52+"0:02"</f>
        <v>0.69513888888888875</v>
      </c>
      <c r="U53" s="74"/>
      <c r="V53" s="74">
        <f>V52+"0:02"</f>
        <v>0.73680555555555571</v>
      </c>
      <c r="W53" s="74"/>
      <c r="X53" s="74">
        <f t="shared" ref="X53:AA54" si="80">X52+"0:02"</f>
        <v>0.77847222222222179</v>
      </c>
      <c r="Y53" s="74">
        <f t="shared" si="80"/>
        <v>0.82013888888888886</v>
      </c>
      <c r="Z53" s="74">
        <f t="shared" si="80"/>
        <v>0.86180555555555594</v>
      </c>
      <c r="AA53" s="103">
        <f t="shared" si="80"/>
        <v>0.9034722222222219</v>
      </c>
      <c r="AB53" s="69"/>
    </row>
    <row r="54" spans="1:30" s="18" customFormat="1" ht="15" customHeight="1" x14ac:dyDescent="0.3">
      <c r="A54" s="114">
        <v>5</v>
      </c>
      <c r="B54" s="95" t="s">
        <v>31</v>
      </c>
      <c r="C54" s="60"/>
      <c r="D54" s="74">
        <f t="shared" ref="D54:D58" si="81">D53+"0:02"</f>
        <v>0.23819444444444446</v>
      </c>
      <c r="E54" s="74"/>
      <c r="F54" s="74">
        <f t="shared" si="78"/>
        <v>0.27986111111111067</v>
      </c>
      <c r="G54" s="74"/>
      <c r="H54" s="74">
        <f t="shared" si="78"/>
        <v>0.32152777777777763</v>
      </c>
      <c r="I54" s="59"/>
      <c r="J54" s="74">
        <f t="shared" si="79"/>
        <v>0.36319444444444465</v>
      </c>
      <c r="K54" s="74">
        <f t="shared" si="79"/>
        <v>0.40486111111111067</v>
      </c>
      <c r="L54" s="74">
        <f t="shared" si="79"/>
        <v>0.44652777777777763</v>
      </c>
      <c r="M54" s="74">
        <f t="shared" si="79"/>
        <v>0.48819444444444465</v>
      </c>
      <c r="N54" s="74">
        <f t="shared" si="79"/>
        <v>0.52986111111111067</v>
      </c>
      <c r="O54" s="74">
        <f t="shared" si="79"/>
        <v>0.57152777777777763</v>
      </c>
      <c r="P54" s="74">
        <f t="shared" si="79"/>
        <v>0.6131944444444446</v>
      </c>
      <c r="Q54" s="74"/>
      <c r="R54" s="74">
        <f>R53+"0:02"</f>
        <v>0.65486111111111067</v>
      </c>
      <c r="S54" s="74"/>
      <c r="T54" s="74">
        <f>T53+"0:02"</f>
        <v>0.69652777777777763</v>
      </c>
      <c r="U54" s="74"/>
      <c r="V54" s="74">
        <f>V53+"0:02"</f>
        <v>0.7381944444444446</v>
      </c>
      <c r="W54" s="74"/>
      <c r="X54" s="74">
        <f t="shared" si="80"/>
        <v>0.77986111111111067</v>
      </c>
      <c r="Y54" s="74">
        <f t="shared" si="80"/>
        <v>0.82152777777777775</v>
      </c>
      <c r="Z54" s="74">
        <f t="shared" si="80"/>
        <v>0.86319444444444482</v>
      </c>
      <c r="AA54" s="103">
        <f t="shared" si="80"/>
        <v>0.90486111111111078</v>
      </c>
      <c r="AB54" s="69"/>
    </row>
    <row r="55" spans="1:30" s="18" customFormat="1" ht="15" customHeight="1" x14ac:dyDescent="0.3">
      <c r="A55" s="114">
        <v>4</v>
      </c>
      <c r="B55" s="95" t="s">
        <v>81</v>
      </c>
      <c r="C55" s="60"/>
      <c r="D55" s="74">
        <f>D54+"0:01"</f>
        <v>0.2388888888888889</v>
      </c>
      <c r="E55" s="74"/>
      <c r="F55" s="74">
        <f t="shared" ref="F55:H56" si="82">F54+"0:01"</f>
        <v>0.28055555555555511</v>
      </c>
      <c r="G55" s="74"/>
      <c r="H55" s="74">
        <f t="shared" si="82"/>
        <v>0.32222222222222208</v>
      </c>
      <c r="I55" s="59"/>
      <c r="J55" s="74">
        <f t="shared" ref="J55:P56" si="83">J54+"0:01"</f>
        <v>0.36388888888888909</v>
      </c>
      <c r="K55" s="74">
        <f t="shared" si="83"/>
        <v>0.40555555555555511</v>
      </c>
      <c r="L55" s="74">
        <f t="shared" si="83"/>
        <v>0.44722222222222208</v>
      </c>
      <c r="M55" s="74">
        <f t="shared" si="83"/>
        <v>0.48888888888888909</v>
      </c>
      <c r="N55" s="74">
        <f t="shared" si="83"/>
        <v>0.53055555555555511</v>
      </c>
      <c r="O55" s="74">
        <f t="shared" si="83"/>
        <v>0.57222222222222208</v>
      </c>
      <c r="P55" s="74">
        <f t="shared" si="83"/>
        <v>0.61388888888888904</v>
      </c>
      <c r="Q55" s="74"/>
      <c r="R55" s="74">
        <f>R54+"0:01"</f>
        <v>0.65555555555555511</v>
      </c>
      <c r="S55" s="74"/>
      <c r="T55" s="74">
        <f>T54+"0:01"</f>
        <v>0.69722222222222208</v>
      </c>
      <c r="U55" s="74"/>
      <c r="V55" s="74">
        <f>V54+"0:01"</f>
        <v>0.73888888888888904</v>
      </c>
      <c r="W55" s="74"/>
      <c r="X55" s="74">
        <f t="shared" ref="X55:AA56" si="84">X54+"0:01"</f>
        <v>0.78055555555555511</v>
      </c>
      <c r="Y55" s="74">
        <f t="shared" si="84"/>
        <v>0.82222222222222219</v>
      </c>
      <c r="Z55" s="74">
        <f t="shared" si="84"/>
        <v>0.86388888888888926</v>
      </c>
      <c r="AA55" s="103">
        <f t="shared" si="84"/>
        <v>0.90555555555555522</v>
      </c>
      <c r="AB55" s="69"/>
    </row>
    <row r="56" spans="1:30" s="18" customFormat="1" ht="15" customHeight="1" x14ac:dyDescent="0.3">
      <c r="A56" s="114">
        <v>3</v>
      </c>
      <c r="B56" s="95" t="s">
        <v>72</v>
      </c>
      <c r="C56" s="60"/>
      <c r="D56" s="74">
        <f>D55+"0:01"</f>
        <v>0.23958333333333334</v>
      </c>
      <c r="E56" s="74"/>
      <c r="F56" s="74">
        <f t="shared" si="82"/>
        <v>0.28124999999999956</v>
      </c>
      <c r="G56" s="74"/>
      <c r="H56" s="74">
        <f t="shared" si="82"/>
        <v>0.32291666666666652</v>
      </c>
      <c r="I56" s="59"/>
      <c r="J56" s="74">
        <f t="shared" si="83"/>
        <v>0.36458333333333354</v>
      </c>
      <c r="K56" s="74">
        <f t="shared" si="83"/>
        <v>0.40624999999999956</v>
      </c>
      <c r="L56" s="74">
        <f t="shared" si="83"/>
        <v>0.44791666666666652</v>
      </c>
      <c r="M56" s="74">
        <f t="shared" si="83"/>
        <v>0.48958333333333354</v>
      </c>
      <c r="N56" s="74">
        <f t="shared" si="83"/>
        <v>0.53124999999999956</v>
      </c>
      <c r="O56" s="74">
        <f t="shared" si="83"/>
        <v>0.57291666666666652</v>
      </c>
      <c r="P56" s="74">
        <f t="shared" si="83"/>
        <v>0.61458333333333348</v>
      </c>
      <c r="Q56" s="74"/>
      <c r="R56" s="74">
        <f>R55+"0:01"</f>
        <v>0.65624999999999956</v>
      </c>
      <c r="S56" s="74"/>
      <c r="T56" s="74">
        <f>T55+"0:01"</f>
        <v>0.69791666666666652</v>
      </c>
      <c r="U56" s="74"/>
      <c r="V56" s="74">
        <f>V55+"0:01"</f>
        <v>0.73958333333333348</v>
      </c>
      <c r="W56" s="74"/>
      <c r="X56" s="74">
        <f t="shared" si="84"/>
        <v>0.78124999999999956</v>
      </c>
      <c r="Y56" s="74">
        <f t="shared" si="84"/>
        <v>0.82291666666666663</v>
      </c>
      <c r="Z56" s="74">
        <f t="shared" si="84"/>
        <v>0.8645833333333337</v>
      </c>
      <c r="AA56" s="103">
        <f t="shared" si="84"/>
        <v>0.90624999999999967</v>
      </c>
      <c r="AB56" s="69"/>
    </row>
    <row r="57" spans="1:30" s="18" customFormat="1" ht="15" customHeight="1" x14ac:dyDescent="0.3">
      <c r="A57" s="114">
        <v>2</v>
      </c>
      <c r="B57" s="95" t="s">
        <v>32</v>
      </c>
      <c r="C57" s="60"/>
      <c r="D57" s="74">
        <f t="shared" si="81"/>
        <v>0.24097222222222223</v>
      </c>
      <c r="E57" s="74"/>
      <c r="F57" s="74">
        <f t="shared" ref="F57:F58" si="85">F56+"0:02"</f>
        <v>0.28263888888888844</v>
      </c>
      <c r="G57" s="74"/>
      <c r="H57" s="74">
        <f t="shared" ref="H57:H58" si="86">H56+"0:02"</f>
        <v>0.3243055555555554</v>
      </c>
      <c r="I57" s="59"/>
      <c r="J57" s="74">
        <f t="shared" ref="J57:J58" si="87">J56+"0:02"</f>
        <v>0.36597222222222242</v>
      </c>
      <c r="K57" s="74">
        <f t="shared" ref="K57:K58" si="88">K56+"0:02"</f>
        <v>0.40763888888888844</v>
      </c>
      <c r="L57" s="74">
        <f t="shared" ref="L57:L58" si="89">L56+"0:02"</f>
        <v>0.4493055555555554</v>
      </c>
      <c r="M57" s="74">
        <f t="shared" ref="M57:M58" si="90">M56+"0:02"</f>
        <v>0.49097222222222242</v>
      </c>
      <c r="N57" s="74">
        <f t="shared" ref="N57:N58" si="91">N56+"0:02"</f>
        <v>0.53263888888888844</v>
      </c>
      <c r="O57" s="74">
        <f t="shared" ref="O57:O58" si="92">O56+"0:02"</f>
        <v>0.5743055555555554</v>
      </c>
      <c r="P57" s="74">
        <f t="shared" ref="P57:P58" si="93">P56+"0:02"</f>
        <v>0.61597222222222237</v>
      </c>
      <c r="Q57" s="74"/>
      <c r="R57" s="74">
        <f t="shared" ref="R57:R58" si="94">R56+"0:02"</f>
        <v>0.65763888888888844</v>
      </c>
      <c r="S57" s="74"/>
      <c r="T57" s="74">
        <f t="shared" ref="T57:T58" si="95">T56+"0:02"</f>
        <v>0.6993055555555554</v>
      </c>
      <c r="U57" s="74"/>
      <c r="V57" s="74">
        <f t="shared" ref="V57:V58" si="96">V56+"0:02"</f>
        <v>0.74097222222222237</v>
      </c>
      <c r="W57" s="74"/>
      <c r="X57" s="74">
        <f t="shared" ref="X57:X58" si="97">X56+"0:02"</f>
        <v>0.78263888888888844</v>
      </c>
      <c r="Y57" s="74">
        <f t="shared" ref="Y57:Y58" si="98">Y56+"0:02"</f>
        <v>0.82430555555555551</v>
      </c>
      <c r="Z57" s="74">
        <f t="shared" ref="Z57:Z58" si="99">Z56+"0:02"</f>
        <v>0.86597222222222259</v>
      </c>
      <c r="AA57" s="103">
        <f t="shared" ref="AA57:AA58" si="100">AA56+"0:02"</f>
        <v>0.90763888888888855</v>
      </c>
      <c r="AB57" s="69"/>
    </row>
    <row r="58" spans="1:30" s="18" customFormat="1" ht="15" customHeight="1" thickBot="1" x14ac:dyDescent="0.35">
      <c r="A58" s="116">
        <v>1</v>
      </c>
      <c r="B58" s="117" t="s">
        <v>33</v>
      </c>
      <c r="C58" s="118" t="s">
        <v>84</v>
      </c>
      <c r="D58" s="107">
        <f t="shared" si="81"/>
        <v>0.24236111111111111</v>
      </c>
      <c r="E58" s="107"/>
      <c r="F58" s="107">
        <f t="shared" si="85"/>
        <v>0.28402777777777732</v>
      </c>
      <c r="G58" s="107"/>
      <c r="H58" s="107">
        <f t="shared" si="86"/>
        <v>0.32569444444444429</v>
      </c>
      <c r="I58" s="151"/>
      <c r="J58" s="107">
        <f t="shared" si="87"/>
        <v>0.3673611111111113</v>
      </c>
      <c r="K58" s="107">
        <f t="shared" si="88"/>
        <v>0.40902777777777732</v>
      </c>
      <c r="L58" s="107">
        <f t="shared" si="89"/>
        <v>0.45069444444444429</v>
      </c>
      <c r="M58" s="107">
        <f t="shared" si="90"/>
        <v>0.4923611111111113</v>
      </c>
      <c r="N58" s="107">
        <f t="shared" si="91"/>
        <v>0.53402777777777732</v>
      </c>
      <c r="O58" s="107">
        <f t="shared" si="92"/>
        <v>0.57569444444444429</v>
      </c>
      <c r="P58" s="107">
        <f t="shared" si="93"/>
        <v>0.61736111111111125</v>
      </c>
      <c r="Q58" s="107"/>
      <c r="R58" s="107">
        <f t="shared" si="94"/>
        <v>0.65902777777777732</v>
      </c>
      <c r="S58" s="107"/>
      <c r="T58" s="107">
        <f t="shared" si="95"/>
        <v>0.70069444444444429</v>
      </c>
      <c r="U58" s="107"/>
      <c r="V58" s="107">
        <f t="shared" si="96"/>
        <v>0.74236111111111125</v>
      </c>
      <c r="W58" s="107"/>
      <c r="X58" s="107">
        <f t="shared" si="97"/>
        <v>0.78402777777777732</v>
      </c>
      <c r="Y58" s="107">
        <f t="shared" si="98"/>
        <v>0.8256944444444444</v>
      </c>
      <c r="Z58" s="107">
        <f t="shared" si="99"/>
        <v>0.86736111111111147</v>
      </c>
      <c r="AA58" s="108">
        <f t="shared" si="100"/>
        <v>0.90902777777777743</v>
      </c>
      <c r="AB58" s="69"/>
    </row>
    <row r="59" spans="1:30" s="29" customFormat="1" ht="14.4" thickBot="1" x14ac:dyDescent="0.35">
      <c r="A59" s="145" t="s">
        <v>35</v>
      </c>
      <c r="B59" s="146" t="s">
        <v>2</v>
      </c>
      <c r="C59" s="147"/>
      <c r="D59" s="148">
        <v>9.5</v>
      </c>
      <c r="E59" s="148">
        <v>4.9000000000000004</v>
      </c>
      <c r="F59" s="148">
        <v>9.5</v>
      </c>
      <c r="G59" s="148">
        <v>4.9000000000000004</v>
      </c>
      <c r="H59" s="148">
        <v>9.5</v>
      </c>
      <c r="I59" s="148">
        <v>4.9000000000000004</v>
      </c>
      <c r="J59" s="148">
        <v>9.5</v>
      </c>
      <c r="K59" s="148">
        <v>9.5</v>
      </c>
      <c r="L59" s="148">
        <v>9.5</v>
      </c>
      <c r="M59" s="148">
        <v>9.5</v>
      </c>
      <c r="N59" s="148">
        <v>9.5</v>
      </c>
      <c r="O59" s="148">
        <v>9.5</v>
      </c>
      <c r="P59" s="148">
        <v>9.5</v>
      </c>
      <c r="Q59" s="148">
        <v>4.9000000000000004</v>
      </c>
      <c r="R59" s="148">
        <v>9.5</v>
      </c>
      <c r="S59" s="148">
        <v>4.9000000000000004</v>
      </c>
      <c r="T59" s="148">
        <v>9.5</v>
      </c>
      <c r="U59" s="148">
        <v>4.9000000000000004</v>
      </c>
      <c r="V59" s="148">
        <v>9.5</v>
      </c>
      <c r="W59" s="148">
        <v>4.9000000000000004</v>
      </c>
      <c r="X59" s="148">
        <v>9.5</v>
      </c>
      <c r="Y59" s="148">
        <v>4.5999999999999996</v>
      </c>
      <c r="Z59" s="148">
        <v>4.5999999999999996</v>
      </c>
      <c r="AA59" s="149">
        <v>4.5999999999999996</v>
      </c>
      <c r="AB59" s="127">
        <f>SUM(D59:AA59)</f>
        <v>181.1</v>
      </c>
      <c r="AD59" s="40"/>
    </row>
  </sheetData>
  <sheetProtection formatCells="0" formatColumns="0" formatRows="0" insertColumns="0" insertRows="0" insertHyperlinks="0" deleteColumns="0" deleteRows="0" sort="0" autoFilter="0" pivotTables="0"/>
  <phoneticPr fontId="15" type="noConversion"/>
  <pageMargins left="0.25" right="0.25" top="0.75" bottom="0.75" header="0.3" footer="0.3"/>
  <pageSetup paperSize="9" scale="84" fitToHeight="0" orientation="landscape" r:id="rId1"/>
  <headerFooter>
    <oddHeader>&amp;RPrinz návrh jízdních řádů 2026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C9C1-7962-4B74-A606-5916053830F2}">
  <sheetPr>
    <pageSetUpPr fitToPage="1"/>
  </sheetPr>
  <dimension ref="A1:AP43"/>
  <sheetViews>
    <sheetView topLeftCell="E31" zoomScaleNormal="100" workbookViewId="0">
      <selection activeCell="N22" sqref="N1:Q1048576"/>
    </sheetView>
  </sheetViews>
  <sheetFormatPr defaultColWidth="8.6640625" defaultRowHeight="13.2" x14ac:dyDescent="0.3"/>
  <cols>
    <col min="1" max="1" width="4.6640625" style="1" customWidth="1"/>
    <col min="2" max="2" width="19.109375" style="1" customWidth="1"/>
    <col min="3" max="3" width="4.109375" style="24" customWidth="1"/>
    <col min="4" max="4" width="7.6640625" style="1" customWidth="1"/>
    <col min="5" max="13" width="4.6640625" style="1" customWidth="1"/>
    <col min="14" max="17" width="5.77734375" style="1" customWidth="1"/>
    <col min="18" max="42" width="5.5546875" style="1" customWidth="1"/>
    <col min="43" max="16384" width="8.6640625" style="1"/>
  </cols>
  <sheetData>
    <row r="1" spans="1:41" s="3" customFormat="1" ht="18" customHeight="1" x14ac:dyDescent="0.3">
      <c r="A1" s="2" t="s">
        <v>11</v>
      </c>
      <c r="B1" s="2"/>
      <c r="C1" s="21"/>
      <c r="D1" s="2" t="s">
        <v>90</v>
      </c>
    </row>
    <row r="2" spans="1:41" ht="18" customHeight="1" x14ac:dyDescent="0.3">
      <c r="A2" s="41"/>
      <c r="B2" s="41"/>
      <c r="C2" s="52"/>
      <c r="D2" s="42"/>
    </row>
    <row r="3" spans="1:41" s="3" customFormat="1" ht="15" customHeight="1" thickBot="1" x14ac:dyDescent="0.35">
      <c r="A3" s="4"/>
      <c r="B3" s="66" t="s">
        <v>15</v>
      </c>
      <c r="C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1" s="3" customFormat="1" ht="15" customHeight="1" x14ac:dyDescent="0.3">
      <c r="A4" s="98" t="s">
        <v>1</v>
      </c>
      <c r="B4" s="110"/>
      <c r="C4" s="100"/>
      <c r="D4" s="141">
        <v>1</v>
      </c>
      <c r="E4" s="141">
        <f>D4+2</f>
        <v>3</v>
      </c>
      <c r="F4" s="141">
        <f t="shared" ref="F4:AO4" si="0">E4+2</f>
        <v>5</v>
      </c>
      <c r="G4" s="141">
        <f t="shared" si="0"/>
        <v>7</v>
      </c>
      <c r="H4" s="141">
        <f t="shared" si="0"/>
        <v>9</v>
      </c>
      <c r="I4" s="141">
        <f t="shared" si="0"/>
        <v>11</v>
      </c>
      <c r="J4" s="141">
        <f t="shared" si="0"/>
        <v>13</v>
      </c>
      <c r="K4" s="141">
        <f t="shared" si="0"/>
        <v>15</v>
      </c>
      <c r="L4" s="141">
        <f t="shared" si="0"/>
        <v>17</v>
      </c>
      <c r="M4" s="141">
        <f t="shared" si="0"/>
        <v>19</v>
      </c>
      <c r="N4" s="141">
        <f t="shared" si="0"/>
        <v>21</v>
      </c>
      <c r="O4" s="141">
        <f t="shared" si="0"/>
        <v>23</v>
      </c>
      <c r="P4" s="141">
        <f t="shared" si="0"/>
        <v>25</v>
      </c>
      <c r="Q4" s="141">
        <f t="shared" si="0"/>
        <v>27</v>
      </c>
      <c r="R4" s="141">
        <f t="shared" si="0"/>
        <v>29</v>
      </c>
      <c r="S4" s="141">
        <f t="shared" si="0"/>
        <v>31</v>
      </c>
      <c r="T4" s="141">
        <f t="shared" si="0"/>
        <v>33</v>
      </c>
      <c r="U4" s="141">
        <f t="shared" si="0"/>
        <v>35</v>
      </c>
      <c r="V4" s="141">
        <f t="shared" si="0"/>
        <v>37</v>
      </c>
      <c r="W4" s="141">
        <f t="shared" si="0"/>
        <v>39</v>
      </c>
      <c r="X4" s="141">
        <f t="shared" si="0"/>
        <v>41</v>
      </c>
      <c r="Y4" s="141">
        <f t="shared" si="0"/>
        <v>43</v>
      </c>
      <c r="Z4" s="141">
        <f t="shared" si="0"/>
        <v>45</v>
      </c>
      <c r="AA4" s="141">
        <f t="shared" si="0"/>
        <v>47</v>
      </c>
      <c r="AB4" s="141">
        <f t="shared" si="0"/>
        <v>49</v>
      </c>
      <c r="AC4" s="141">
        <f t="shared" si="0"/>
        <v>51</v>
      </c>
      <c r="AD4" s="141">
        <f t="shared" si="0"/>
        <v>53</v>
      </c>
      <c r="AE4" s="141">
        <f t="shared" si="0"/>
        <v>55</v>
      </c>
      <c r="AF4" s="141">
        <f t="shared" si="0"/>
        <v>57</v>
      </c>
      <c r="AG4" s="141">
        <f t="shared" si="0"/>
        <v>59</v>
      </c>
      <c r="AH4" s="141">
        <f t="shared" si="0"/>
        <v>61</v>
      </c>
      <c r="AI4" s="141">
        <f t="shared" si="0"/>
        <v>63</v>
      </c>
      <c r="AJ4" s="141">
        <f t="shared" si="0"/>
        <v>65</v>
      </c>
      <c r="AK4" s="141">
        <f t="shared" si="0"/>
        <v>67</v>
      </c>
      <c r="AL4" s="141">
        <f t="shared" si="0"/>
        <v>69</v>
      </c>
      <c r="AM4" s="141">
        <f t="shared" si="0"/>
        <v>71</v>
      </c>
      <c r="AN4" s="141">
        <f t="shared" si="0"/>
        <v>73</v>
      </c>
      <c r="AO4" s="142">
        <f t="shared" si="0"/>
        <v>75</v>
      </c>
    </row>
    <row r="5" spans="1:41" s="3" customFormat="1" ht="15" customHeight="1" x14ac:dyDescent="0.3">
      <c r="A5" s="102">
        <v>1</v>
      </c>
      <c r="B5" s="97" t="s">
        <v>41</v>
      </c>
      <c r="C5" s="96" t="s">
        <v>83</v>
      </c>
      <c r="D5" s="74">
        <v>0.18541666666666667</v>
      </c>
      <c r="E5" s="74"/>
      <c r="F5" s="74">
        <v>0.22708333333333333</v>
      </c>
      <c r="G5" s="74"/>
      <c r="H5" s="74"/>
      <c r="I5" s="74">
        <v>0.26874999999999999</v>
      </c>
      <c r="J5" s="74"/>
      <c r="K5" s="74"/>
      <c r="L5" s="74"/>
      <c r="M5" s="74">
        <v>0.31041666666666701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>
        <v>0.6020833333333333</v>
      </c>
      <c r="AB5" s="74"/>
      <c r="AC5" s="74"/>
      <c r="AD5" s="74">
        <v>0.64375000000000004</v>
      </c>
      <c r="AE5" s="74"/>
      <c r="AF5" s="74"/>
      <c r="AG5" s="74">
        <v>0.68541666666666701</v>
      </c>
      <c r="AH5" s="74"/>
      <c r="AI5" s="74"/>
      <c r="AJ5" s="74">
        <v>0.7270833333333333</v>
      </c>
      <c r="AK5" s="74"/>
      <c r="AL5" s="74"/>
      <c r="AM5" s="74"/>
      <c r="AN5" s="93"/>
      <c r="AO5" s="154"/>
    </row>
    <row r="6" spans="1:41" s="3" customFormat="1" ht="15" customHeight="1" x14ac:dyDescent="0.3">
      <c r="A6" s="102">
        <v>2</v>
      </c>
      <c r="B6" s="97" t="s">
        <v>43</v>
      </c>
      <c r="C6" s="96"/>
      <c r="D6" s="74">
        <f>D5+"0:01"</f>
        <v>0.18611111111111112</v>
      </c>
      <c r="E6" s="74"/>
      <c r="F6" s="74">
        <f t="shared" ref="F6" si="1">F5+"0:01"</f>
        <v>0.22777777777777777</v>
      </c>
      <c r="G6" s="74"/>
      <c r="H6" s="74"/>
      <c r="I6" s="74">
        <f t="shared" ref="I6" si="2">I5+"0:01"</f>
        <v>0.26944444444444443</v>
      </c>
      <c r="J6" s="74"/>
      <c r="K6" s="74"/>
      <c r="L6" s="74"/>
      <c r="M6" s="74">
        <f t="shared" ref="M6" si="3">M5+"0:01"</f>
        <v>0.31111111111111145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>
        <f t="shared" ref="AA6" si="4">AA5+"0:01"</f>
        <v>0.60277777777777775</v>
      </c>
      <c r="AB6" s="74"/>
      <c r="AC6" s="74"/>
      <c r="AD6" s="74">
        <f t="shared" ref="AD6" si="5">AD5+"0:01"</f>
        <v>0.64444444444444449</v>
      </c>
      <c r="AE6" s="74"/>
      <c r="AF6" s="74"/>
      <c r="AG6" s="74">
        <f t="shared" ref="AG6" si="6">AG5+"0:01"</f>
        <v>0.68611111111111145</v>
      </c>
      <c r="AH6" s="74"/>
      <c r="AI6" s="74"/>
      <c r="AJ6" s="74">
        <f t="shared" ref="AJ6" si="7">AJ5+"0:01"</f>
        <v>0.72777777777777775</v>
      </c>
      <c r="AK6" s="74"/>
      <c r="AL6" s="74"/>
      <c r="AM6" s="74"/>
      <c r="AN6" s="93"/>
      <c r="AO6" s="154"/>
    </row>
    <row r="7" spans="1:41" s="3" customFormat="1" ht="15" customHeight="1" x14ac:dyDescent="0.3">
      <c r="A7" s="102">
        <v>3</v>
      </c>
      <c r="B7" s="97" t="s">
        <v>39</v>
      </c>
      <c r="C7" s="96"/>
      <c r="D7" s="74">
        <f>D6+"0:02"</f>
        <v>0.1875</v>
      </c>
      <c r="E7" s="74"/>
      <c r="F7" s="74">
        <f t="shared" ref="F7" si="8">F6+"0:02"</f>
        <v>0.22916666666666666</v>
      </c>
      <c r="G7" s="74"/>
      <c r="H7" s="74"/>
      <c r="I7" s="74">
        <f t="shared" ref="I7" si="9">I6+"0:02"</f>
        <v>0.27083333333333331</v>
      </c>
      <c r="J7" s="74"/>
      <c r="K7" s="74"/>
      <c r="L7" s="74"/>
      <c r="M7" s="74">
        <f t="shared" ref="M7" si="10">M6+"0:02"</f>
        <v>0.31250000000000033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>
        <f t="shared" ref="AA7" si="11">AA6+"0:02"</f>
        <v>0.60416666666666663</v>
      </c>
      <c r="AB7" s="74"/>
      <c r="AC7" s="74"/>
      <c r="AD7" s="74">
        <f t="shared" ref="AD7" si="12">AD6+"0:02"</f>
        <v>0.64583333333333337</v>
      </c>
      <c r="AE7" s="74"/>
      <c r="AF7" s="74"/>
      <c r="AG7" s="74">
        <f t="shared" ref="AG7" si="13">AG6+"0:02"</f>
        <v>0.68750000000000033</v>
      </c>
      <c r="AH7" s="74"/>
      <c r="AI7" s="74"/>
      <c r="AJ7" s="74">
        <f t="shared" ref="AJ7" si="14">AJ6+"0:02"</f>
        <v>0.72916666666666663</v>
      </c>
      <c r="AK7" s="74"/>
      <c r="AL7" s="74"/>
      <c r="AM7" s="74"/>
      <c r="AN7" s="93"/>
      <c r="AO7" s="154"/>
    </row>
    <row r="8" spans="1:41" s="3" customFormat="1" ht="15" customHeight="1" x14ac:dyDescent="0.3">
      <c r="A8" s="102">
        <v>4</v>
      </c>
      <c r="B8" s="97" t="s">
        <v>97</v>
      </c>
      <c r="C8" s="96" t="s">
        <v>84</v>
      </c>
      <c r="D8" s="74">
        <f>D7+"0:03"</f>
        <v>0.18958333333333333</v>
      </c>
      <c r="E8" s="74"/>
      <c r="F8" s="74">
        <f t="shared" ref="F8" si="15">F7+"0:03"</f>
        <v>0.23124999999999998</v>
      </c>
      <c r="G8" s="74"/>
      <c r="H8" s="74"/>
      <c r="I8" s="74">
        <f t="shared" ref="I8" si="16">I7+"0:03"</f>
        <v>0.27291666666666664</v>
      </c>
      <c r="J8" s="74"/>
      <c r="K8" s="74"/>
      <c r="L8" s="74"/>
      <c r="M8" s="74">
        <f t="shared" ref="M8" si="17">M7+"0:03"</f>
        <v>0.31458333333333366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>
        <f t="shared" ref="AA8" si="18">AA7+"0:03"</f>
        <v>0.60624999999999996</v>
      </c>
      <c r="AB8" s="74"/>
      <c r="AC8" s="74"/>
      <c r="AD8" s="74">
        <f t="shared" ref="AD8" si="19">AD7+"0:03"</f>
        <v>0.6479166666666667</v>
      </c>
      <c r="AE8" s="74"/>
      <c r="AF8" s="74"/>
      <c r="AG8" s="74">
        <f t="shared" ref="AG8" si="20">AG7+"0:03"</f>
        <v>0.68958333333333366</v>
      </c>
      <c r="AH8" s="74"/>
      <c r="AI8" s="74"/>
      <c r="AJ8" s="74">
        <f t="shared" ref="AJ8" si="21">AJ7+"0:03"</f>
        <v>0.73124999999999996</v>
      </c>
      <c r="AK8" s="74"/>
      <c r="AL8" s="74"/>
      <c r="AM8" s="74"/>
      <c r="AN8" s="93"/>
      <c r="AO8" s="154"/>
    </row>
    <row r="9" spans="1:41" s="3" customFormat="1" ht="15" customHeight="1" x14ac:dyDescent="0.3">
      <c r="A9" s="102">
        <v>5</v>
      </c>
      <c r="B9" s="97" t="s">
        <v>97</v>
      </c>
      <c r="C9" s="96" t="s">
        <v>83</v>
      </c>
      <c r="D9" s="74">
        <f>D8</f>
        <v>0.18958333333333333</v>
      </c>
      <c r="E9" s="74">
        <v>0.21180555555555555</v>
      </c>
      <c r="F9" s="74">
        <f t="shared" ref="F9" si="22">F8</f>
        <v>0.23124999999999998</v>
      </c>
      <c r="G9" s="74">
        <v>0.23958333333333334</v>
      </c>
      <c r="H9" s="74">
        <v>0.25347222222222199</v>
      </c>
      <c r="I9" s="74">
        <f t="shared" ref="I9" si="23">I8</f>
        <v>0.27291666666666664</v>
      </c>
      <c r="J9" s="74">
        <v>0.28125</v>
      </c>
      <c r="K9" s="74">
        <v>0.29513888888888901</v>
      </c>
      <c r="L9" s="74">
        <v>0.30208333333333331</v>
      </c>
      <c r="M9" s="74">
        <f t="shared" ref="M9" si="24">M8</f>
        <v>0.31458333333333366</v>
      </c>
      <c r="N9" s="74">
        <v>0.33680555555555558</v>
      </c>
      <c r="O9" s="74">
        <v>0.35625000000000001</v>
      </c>
      <c r="P9" s="74">
        <v>0.37847222222222227</v>
      </c>
      <c r="Q9" s="74">
        <v>0.3979166666666667</v>
      </c>
      <c r="R9" s="74">
        <v>0.4201388888888889</v>
      </c>
      <c r="S9" s="74">
        <v>0.43958333333333338</v>
      </c>
      <c r="T9" s="74">
        <v>0.46180555555555558</v>
      </c>
      <c r="U9" s="74">
        <v>0.48125000000000001</v>
      </c>
      <c r="V9" s="74">
        <v>0.50347222222222221</v>
      </c>
      <c r="W9" s="74">
        <v>0.5229166666666667</v>
      </c>
      <c r="X9" s="74">
        <v>0.54513888888888895</v>
      </c>
      <c r="Y9" s="74">
        <v>0.56458333333333333</v>
      </c>
      <c r="Z9" s="74">
        <v>0.58680555555555558</v>
      </c>
      <c r="AA9" s="74">
        <v>0.60625000000000007</v>
      </c>
      <c r="AB9" s="74">
        <v>0.61458333333333337</v>
      </c>
      <c r="AC9" s="74">
        <v>0.62847222222222221</v>
      </c>
      <c r="AD9" s="74">
        <v>0.6479166666666667</v>
      </c>
      <c r="AE9" s="74">
        <v>0.65625</v>
      </c>
      <c r="AF9" s="74">
        <v>0.67013888888888884</v>
      </c>
      <c r="AG9" s="74">
        <v>0.68958333333333333</v>
      </c>
      <c r="AH9" s="74">
        <v>0.69791666666666663</v>
      </c>
      <c r="AI9" s="74">
        <v>0.71180555555555547</v>
      </c>
      <c r="AJ9" s="74">
        <v>0.73125000000000007</v>
      </c>
      <c r="AK9" s="74">
        <v>0.73958333333333337</v>
      </c>
      <c r="AL9" s="74">
        <v>0.75347222222222221</v>
      </c>
      <c r="AM9" s="74">
        <v>0.7729166666666667</v>
      </c>
      <c r="AN9" s="74">
        <v>0.81458333333333333</v>
      </c>
      <c r="AO9" s="103">
        <v>0.86111111111111116</v>
      </c>
    </row>
    <row r="10" spans="1:41" s="3" customFormat="1" ht="15" customHeight="1" x14ac:dyDescent="0.3">
      <c r="A10" s="102">
        <v>6</v>
      </c>
      <c r="B10" s="97" t="s">
        <v>44</v>
      </c>
      <c r="C10" s="96"/>
      <c r="D10" s="74">
        <f>D9+"0:03"</f>
        <v>0.19166666666666665</v>
      </c>
      <c r="E10" s="74">
        <f t="shared" ref="E10:Z11" si="25">E9+"0:03"</f>
        <v>0.21388888888888888</v>
      </c>
      <c r="F10" s="74">
        <f t="shared" si="25"/>
        <v>0.23333333333333331</v>
      </c>
      <c r="G10" s="74">
        <f t="shared" si="25"/>
        <v>0.24166666666666667</v>
      </c>
      <c r="H10" s="74">
        <f t="shared" ref="H10:H11" si="26">H9+"0:03"</f>
        <v>0.25555555555555531</v>
      </c>
      <c r="I10" s="74">
        <f t="shared" ref="I10:I11" si="27">I9+"0:03"</f>
        <v>0.27499999999999997</v>
      </c>
      <c r="J10" s="74">
        <f t="shared" ref="J10:J11" si="28">J9+"0:03"</f>
        <v>0.28333333333333333</v>
      </c>
      <c r="K10" s="74">
        <f t="shared" ref="K10:K11" si="29">K9+"0:03"</f>
        <v>0.29722222222222233</v>
      </c>
      <c r="L10" s="74">
        <f t="shared" ref="L10:M11" si="30">L9+"0:03"</f>
        <v>0.30416666666666664</v>
      </c>
      <c r="M10" s="74">
        <f t="shared" si="30"/>
        <v>0.31666666666666698</v>
      </c>
      <c r="N10" s="74">
        <f t="shared" ref="N10:N11" si="31">N9+"0:03"</f>
        <v>0.33888888888888891</v>
      </c>
      <c r="O10" s="74">
        <f t="shared" si="25"/>
        <v>0.35833333333333334</v>
      </c>
      <c r="P10" s="74">
        <f t="shared" ref="P10:P11" si="32">P9+"0:03"</f>
        <v>0.38055555555555559</v>
      </c>
      <c r="Q10" s="74">
        <f t="shared" ref="Q10:Q11" si="33">Q9+"0:03"</f>
        <v>0.4</v>
      </c>
      <c r="R10" s="74">
        <f t="shared" ref="R10:R11" si="34">R9+"0:03"</f>
        <v>0.42222222222222222</v>
      </c>
      <c r="S10" s="74">
        <f t="shared" ref="S10:S11" si="35">S9+"0:03"</f>
        <v>0.44166666666666671</v>
      </c>
      <c r="T10" s="74">
        <f t="shared" ref="T10:T11" si="36">T9+"0:03"</f>
        <v>0.46388888888888891</v>
      </c>
      <c r="U10" s="74">
        <f t="shared" ref="U10:U11" si="37">U9+"0:03"</f>
        <v>0.48333333333333334</v>
      </c>
      <c r="V10" s="74">
        <f t="shared" ref="V10:V11" si="38">V9+"0:03"</f>
        <v>0.50555555555555554</v>
      </c>
      <c r="W10" s="74">
        <f t="shared" ref="W10:W11" si="39">W9+"0:03"</f>
        <v>0.52500000000000002</v>
      </c>
      <c r="X10" s="74">
        <f t="shared" ref="X10:X11" si="40">X9+"0:03"</f>
        <v>0.54722222222222228</v>
      </c>
      <c r="Y10" s="74">
        <f t="shared" si="25"/>
        <v>0.56666666666666665</v>
      </c>
      <c r="Z10" s="74">
        <f t="shared" si="25"/>
        <v>0.58888888888888891</v>
      </c>
      <c r="AA10" s="74">
        <f t="shared" ref="AA10:AA11" si="41">AA9+"0:03"</f>
        <v>0.60833333333333339</v>
      </c>
      <c r="AB10" s="74">
        <f t="shared" ref="AB10:AB11" si="42">AB9+"0:03"</f>
        <v>0.6166666666666667</v>
      </c>
      <c r="AC10" s="74">
        <f t="shared" ref="AC10:AC11" si="43">AC9+"0:03"</f>
        <v>0.63055555555555554</v>
      </c>
      <c r="AD10" s="74">
        <f t="shared" ref="AD10:AD11" si="44">AD9+"0:03"</f>
        <v>0.65</v>
      </c>
      <c r="AE10" s="74">
        <f t="shared" ref="AE10:AE11" si="45">AE9+"0:03"</f>
        <v>0.65833333333333333</v>
      </c>
      <c r="AF10" s="74">
        <f t="shared" ref="AF10:AF11" si="46">AF9+"0:03"</f>
        <v>0.67222222222222217</v>
      </c>
      <c r="AG10" s="74">
        <f t="shared" ref="AG10:AG11" si="47">AG9+"0:03"</f>
        <v>0.69166666666666665</v>
      </c>
      <c r="AH10" s="74">
        <f t="shared" ref="AH10:AH11" si="48">AH9+"0:03"</f>
        <v>0.7</v>
      </c>
      <c r="AI10" s="74">
        <f t="shared" ref="AI10:AI11" si="49">AI9+"0:03"</f>
        <v>0.7138888888888888</v>
      </c>
      <c r="AJ10" s="74">
        <f t="shared" ref="AJ10:AJ11" si="50">AJ9+"0:03"</f>
        <v>0.73333333333333339</v>
      </c>
      <c r="AK10" s="74">
        <f t="shared" ref="AK10:AL11" si="51">AK9+"0:03"</f>
        <v>0.7416666666666667</v>
      </c>
      <c r="AL10" s="74">
        <f t="shared" si="51"/>
        <v>0.75555555555555554</v>
      </c>
      <c r="AM10" s="74">
        <f t="shared" ref="AM10:AM11" si="52">AM9+"0:03"</f>
        <v>0.77500000000000002</v>
      </c>
      <c r="AN10" s="74">
        <f t="shared" ref="AN10:AN11" si="53">AN9+"0:03"</f>
        <v>0.81666666666666665</v>
      </c>
      <c r="AO10" s="103">
        <f>AO9+"0:03"</f>
        <v>0.86319444444444449</v>
      </c>
    </row>
    <row r="11" spans="1:41" s="3" customFormat="1" ht="15" customHeight="1" x14ac:dyDescent="0.3">
      <c r="A11" s="102">
        <v>7</v>
      </c>
      <c r="B11" s="97" t="s">
        <v>45</v>
      </c>
      <c r="C11" s="96"/>
      <c r="D11" s="74">
        <f>D10+"0:03"</f>
        <v>0.19374999999999998</v>
      </c>
      <c r="E11" s="74">
        <f t="shared" si="25"/>
        <v>0.2159722222222222</v>
      </c>
      <c r="F11" s="74">
        <f t="shared" si="25"/>
        <v>0.23541666666666664</v>
      </c>
      <c r="G11" s="74">
        <f t="shared" si="25"/>
        <v>0.24374999999999999</v>
      </c>
      <c r="H11" s="74">
        <f t="shared" si="26"/>
        <v>0.25763888888888864</v>
      </c>
      <c r="I11" s="74">
        <f t="shared" si="27"/>
        <v>0.27708333333333329</v>
      </c>
      <c r="J11" s="74">
        <f t="shared" si="28"/>
        <v>0.28541666666666665</v>
      </c>
      <c r="K11" s="74">
        <f t="shared" si="29"/>
        <v>0.29930555555555566</v>
      </c>
      <c r="L11" s="74">
        <f t="shared" si="30"/>
        <v>0.30624999999999997</v>
      </c>
      <c r="M11" s="74">
        <f t="shared" si="30"/>
        <v>0.31875000000000031</v>
      </c>
      <c r="N11" s="74">
        <f t="shared" si="31"/>
        <v>0.34097222222222223</v>
      </c>
      <c r="O11" s="74">
        <f t="shared" si="25"/>
        <v>0.36041666666666666</v>
      </c>
      <c r="P11" s="74">
        <f t="shared" si="32"/>
        <v>0.38263888888888892</v>
      </c>
      <c r="Q11" s="74">
        <f t="shared" si="33"/>
        <v>0.40208333333333335</v>
      </c>
      <c r="R11" s="74">
        <f t="shared" si="34"/>
        <v>0.42430555555555555</v>
      </c>
      <c r="S11" s="74">
        <f t="shared" si="35"/>
        <v>0.44375000000000003</v>
      </c>
      <c r="T11" s="74">
        <f t="shared" si="36"/>
        <v>0.46597222222222223</v>
      </c>
      <c r="U11" s="74">
        <f t="shared" si="37"/>
        <v>0.48541666666666666</v>
      </c>
      <c r="V11" s="74">
        <f t="shared" si="38"/>
        <v>0.50763888888888886</v>
      </c>
      <c r="W11" s="74">
        <f t="shared" si="39"/>
        <v>0.52708333333333335</v>
      </c>
      <c r="X11" s="74">
        <f t="shared" si="40"/>
        <v>0.5493055555555556</v>
      </c>
      <c r="Y11" s="74">
        <f t="shared" si="25"/>
        <v>0.56874999999999998</v>
      </c>
      <c r="Z11" s="74">
        <f t="shared" si="25"/>
        <v>0.59097222222222223</v>
      </c>
      <c r="AA11" s="74">
        <f t="shared" si="41"/>
        <v>0.61041666666666672</v>
      </c>
      <c r="AB11" s="74">
        <f t="shared" si="42"/>
        <v>0.61875000000000002</v>
      </c>
      <c r="AC11" s="74">
        <f t="shared" si="43"/>
        <v>0.63263888888888886</v>
      </c>
      <c r="AD11" s="74">
        <f t="shared" si="44"/>
        <v>0.65208333333333335</v>
      </c>
      <c r="AE11" s="74">
        <f t="shared" si="45"/>
        <v>0.66041666666666665</v>
      </c>
      <c r="AF11" s="74">
        <f t="shared" si="46"/>
        <v>0.67430555555555549</v>
      </c>
      <c r="AG11" s="74">
        <f t="shared" si="47"/>
        <v>0.69374999999999998</v>
      </c>
      <c r="AH11" s="74">
        <f t="shared" si="48"/>
        <v>0.70208333333333328</v>
      </c>
      <c r="AI11" s="74">
        <f t="shared" si="49"/>
        <v>0.71597222222222212</v>
      </c>
      <c r="AJ11" s="74">
        <f t="shared" si="50"/>
        <v>0.73541666666666672</v>
      </c>
      <c r="AK11" s="74">
        <f t="shared" si="51"/>
        <v>0.74375000000000002</v>
      </c>
      <c r="AL11" s="74">
        <f t="shared" si="51"/>
        <v>0.75763888888888886</v>
      </c>
      <c r="AM11" s="74">
        <f t="shared" si="52"/>
        <v>0.77708333333333335</v>
      </c>
      <c r="AN11" s="74">
        <f t="shared" si="53"/>
        <v>0.81874999999999998</v>
      </c>
      <c r="AO11" s="103">
        <f>AO10+"0:03"</f>
        <v>0.86527777777777781</v>
      </c>
    </row>
    <row r="12" spans="1:41" s="3" customFormat="1" ht="15" customHeight="1" x14ac:dyDescent="0.3">
      <c r="A12" s="102">
        <v>8</v>
      </c>
      <c r="B12" s="97" t="s">
        <v>46</v>
      </c>
      <c r="C12" s="96"/>
      <c r="D12" s="74">
        <f t="shared" ref="D12:Y12" si="54">D11+"0:02"</f>
        <v>0.19513888888888886</v>
      </c>
      <c r="E12" s="74">
        <f t="shared" si="54"/>
        <v>0.21736111111111109</v>
      </c>
      <c r="F12" s="74">
        <f t="shared" si="54"/>
        <v>0.23680555555555552</v>
      </c>
      <c r="G12" s="74">
        <f t="shared" si="54"/>
        <v>0.24513888888888888</v>
      </c>
      <c r="H12" s="74">
        <f t="shared" ref="H12:J12" si="55">H11+"0:02"</f>
        <v>0.25902777777777752</v>
      </c>
      <c r="I12" s="74">
        <f t="shared" si="55"/>
        <v>0.27847222222222218</v>
      </c>
      <c r="J12" s="74">
        <f t="shared" si="55"/>
        <v>0.28680555555555554</v>
      </c>
      <c r="K12" s="74">
        <f t="shared" ref="K12:N12" si="56">K11+"0:02"</f>
        <v>0.30069444444444454</v>
      </c>
      <c r="L12" s="74">
        <f t="shared" ref="L12" si="57">L11+"0:02"</f>
        <v>0.30763888888888885</v>
      </c>
      <c r="M12" s="74">
        <f t="shared" si="56"/>
        <v>0.32013888888888919</v>
      </c>
      <c r="N12" s="74">
        <f t="shared" si="56"/>
        <v>0.34236111111111112</v>
      </c>
      <c r="O12" s="74">
        <f t="shared" si="54"/>
        <v>0.36180555555555555</v>
      </c>
      <c r="P12" s="74">
        <f t="shared" si="54"/>
        <v>0.3840277777777778</v>
      </c>
      <c r="Q12" s="74">
        <f t="shared" ref="Q12:T12" si="58">Q11+"0:02"</f>
        <v>0.40347222222222223</v>
      </c>
      <c r="R12" s="74">
        <f t="shared" si="58"/>
        <v>0.42569444444444443</v>
      </c>
      <c r="S12" s="74">
        <f t="shared" si="58"/>
        <v>0.44513888888888892</v>
      </c>
      <c r="T12" s="74">
        <f t="shared" si="58"/>
        <v>0.46736111111111112</v>
      </c>
      <c r="U12" s="74">
        <f t="shared" ref="U12:X12" si="59">U11+"0:02"</f>
        <v>0.48680555555555555</v>
      </c>
      <c r="V12" s="74">
        <f t="shared" si="59"/>
        <v>0.50902777777777775</v>
      </c>
      <c r="W12" s="74">
        <f t="shared" si="59"/>
        <v>0.52847222222222223</v>
      </c>
      <c r="X12" s="74">
        <f t="shared" si="59"/>
        <v>0.55069444444444449</v>
      </c>
      <c r="Y12" s="74">
        <f t="shared" si="54"/>
        <v>0.57013888888888886</v>
      </c>
      <c r="Z12" s="74">
        <f t="shared" ref="Z12:AB12" si="60">Z11+"0:02"</f>
        <v>0.59236111111111112</v>
      </c>
      <c r="AA12" s="74">
        <f t="shared" si="60"/>
        <v>0.6118055555555556</v>
      </c>
      <c r="AB12" s="74">
        <f t="shared" si="60"/>
        <v>0.62013888888888891</v>
      </c>
      <c r="AC12" s="74">
        <f t="shared" ref="AC12:AE12" si="61">AC11+"0:02"</f>
        <v>0.63402777777777775</v>
      </c>
      <c r="AD12" s="74">
        <f t="shared" si="61"/>
        <v>0.65347222222222223</v>
      </c>
      <c r="AE12" s="74">
        <f t="shared" si="61"/>
        <v>0.66180555555555554</v>
      </c>
      <c r="AF12" s="74">
        <f t="shared" ref="AF12:AH12" si="62">AF11+"0:02"</f>
        <v>0.67569444444444438</v>
      </c>
      <c r="AG12" s="74">
        <f t="shared" si="62"/>
        <v>0.69513888888888886</v>
      </c>
      <c r="AH12" s="74">
        <f t="shared" si="62"/>
        <v>0.70347222222222217</v>
      </c>
      <c r="AI12" s="74">
        <f t="shared" ref="AI12:AK12" si="63">AI11+"0:02"</f>
        <v>0.71736111111111101</v>
      </c>
      <c r="AJ12" s="74">
        <f t="shared" si="63"/>
        <v>0.7368055555555556</v>
      </c>
      <c r="AK12" s="74">
        <f t="shared" si="63"/>
        <v>0.74513888888888891</v>
      </c>
      <c r="AL12" s="74">
        <f t="shared" ref="AL12:AN12" si="64">AL11+"0:02"</f>
        <v>0.75902777777777775</v>
      </c>
      <c r="AM12" s="74">
        <f t="shared" si="64"/>
        <v>0.77847222222222223</v>
      </c>
      <c r="AN12" s="74">
        <f t="shared" si="64"/>
        <v>0.82013888888888886</v>
      </c>
      <c r="AO12" s="103">
        <f>AO11+"0:02"</f>
        <v>0.8666666666666667</v>
      </c>
    </row>
    <row r="13" spans="1:41" s="3" customFormat="1" ht="15" customHeight="1" x14ac:dyDescent="0.3">
      <c r="A13" s="102">
        <v>9</v>
      </c>
      <c r="B13" s="97" t="s">
        <v>47</v>
      </c>
      <c r="C13" s="96"/>
      <c r="D13" s="74">
        <f>D12+"0:01"</f>
        <v>0.1958333333333333</v>
      </c>
      <c r="E13" s="74">
        <f t="shared" ref="E13:Z14" si="65">E12+"0:01"</f>
        <v>0.21805555555555553</v>
      </c>
      <c r="F13" s="74">
        <f t="shared" si="65"/>
        <v>0.23749999999999996</v>
      </c>
      <c r="G13" s="74">
        <f t="shared" si="65"/>
        <v>0.24583333333333332</v>
      </c>
      <c r="H13" s="74">
        <f t="shared" ref="H13:H14" si="66">H12+"0:01"</f>
        <v>0.25972222222222197</v>
      </c>
      <c r="I13" s="74">
        <f t="shared" ref="I13:I14" si="67">I12+"0:01"</f>
        <v>0.27916666666666662</v>
      </c>
      <c r="J13" s="74">
        <f t="shared" ref="J13:J14" si="68">J12+"0:01"</f>
        <v>0.28749999999999998</v>
      </c>
      <c r="K13" s="74">
        <f t="shared" ref="K13:K14" si="69">K12+"0:01"</f>
        <v>0.30138888888888898</v>
      </c>
      <c r="L13" s="74">
        <f t="shared" ref="L13:M14" si="70">L12+"0:01"</f>
        <v>0.30833333333333329</v>
      </c>
      <c r="M13" s="74">
        <f t="shared" si="70"/>
        <v>0.32083333333333364</v>
      </c>
      <c r="N13" s="74">
        <f t="shared" ref="N13:N14" si="71">N12+"0:01"</f>
        <v>0.34305555555555556</v>
      </c>
      <c r="O13" s="74">
        <f t="shared" si="65"/>
        <v>0.36249999999999999</v>
      </c>
      <c r="P13" s="74">
        <f t="shared" ref="P13:P14" si="72">P12+"0:01"</f>
        <v>0.38472222222222224</v>
      </c>
      <c r="Q13" s="74">
        <f t="shared" ref="Q13:Q14" si="73">Q12+"0:01"</f>
        <v>0.40416666666666667</v>
      </c>
      <c r="R13" s="74">
        <f t="shared" ref="R13:R14" si="74">R12+"0:01"</f>
        <v>0.42638888888888887</v>
      </c>
      <c r="S13" s="74">
        <f t="shared" ref="S13:S14" si="75">S12+"0:01"</f>
        <v>0.44583333333333336</v>
      </c>
      <c r="T13" s="74">
        <f t="shared" ref="T13:T14" si="76">T12+"0:01"</f>
        <v>0.46805555555555556</v>
      </c>
      <c r="U13" s="74">
        <f t="shared" ref="U13:U14" si="77">U12+"0:01"</f>
        <v>0.48749999999999999</v>
      </c>
      <c r="V13" s="74">
        <f t="shared" ref="V13:V14" si="78">V12+"0:01"</f>
        <v>0.50972222222222219</v>
      </c>
      <c r="W13" s="74">
        <f t="shared" ref="W13:W14" si="79">W12+"0:01"</f>
        <v>0.52916666666666667</v>
      </c>
      <c r="X13" s="74">
        <f t="shared" ref="X13:X14" si="80">X12+"0:01"</f>
        <v>0.55138888888888893</v>
      </c>
      <c r="Y13" s="74">
        <f t="shared" si="65"/>
        <v>0.5708333333333333</v>
      </c>
      <c r="Z13" s="74">
        <f t="shared" si="65"/>
        <v>0.59305555555555556</v>
      </c>
      <c r="AA13" s="74">
        <f t="shared" ref="AA13:AA14" si="81">AA12+"0:01"</f>
        <v>0.61250000000000004</v>
      </c>
      <c r="AB13" s="74">
        <f t="shared" ref="AB13:AB14" si="82">AB12+"0:01"</f>
        <v>0.62083333333333335</v>
      </c>
      <c r="AC13" s="74">
        <f t="shared" ref="AC13:AC14" si="83">AC12+"0:01"</f>
        <v>0.63472222222222219</v>
      </c>
      <c r="AD13" s="74">
        <f t="shared" ref="AD13:AD14" si="84">AD12+"0:01"</f>
        <v>0.65416666666666667</v>
      </c>
      <c r="AE13" s="74">
        <f t="shared" ref="AE13:AE14" si="85">AE12+"0:01"</f>
        <v>0.66249999999999998</v>
      </c>
      <c r="AF13" s="74">
        <f t="shared" ref="AF13:AF14" si="86">AF12+"0:01"</f>
        <v>0.67638888888888882</v>
      </c>
      <c r="AG13" s="74">
        <f t="shared" ref="AG13:AG14" si="87">AG12+"0:01"</f>
        <v>0.6958333333333333</v>
      </c>
      <c r="AH13" s="74">
        <f t="shared" ref="AH13:AH14" si="88">AH12+"0:01"</f>
        <v>0.70416666666666661</v>
      </c>
      <c r="AI13" s="74">
        <f t="shared" ref="AI13:AI14" si="89">AI12+"0:01"</f>
        <v>0.71805555555555545</v>
      </c>
      <c r="AJ13" s="74">
        <f t="shared" ref="AJ13:AJ14" si="90">AJ12+"0:01"</f>
        <v>0.73750000000000004</v>
      </c>
      <c r="AK13" s="74">
        <f t="shared" ref="AK13:AL14" si="91">AK12+"0:01"</f>
        <v>0.74583333333333335</v>
      </c>
      <c r="AL13" s="74">
        <f t="shared" si="91"/>
        <v>0.75972222222222219</v>
      </c>
      <c r="AM13" s="74">
        <f t="shared" ref="AM13:AM14" si="92">AM12+"0:01"</f>
        <v>0.77916666666666667</v>
      </c>
      <c r="AN13" s="74">
        <f t="shared" ref="AN13:AN14" si="93">AN12+"0:01"</f>
        <v>0.8208333333333333</v>
      </c>
      <c r="AO13" s="103">
        <f>AO12+"0:01"</f>
        <v>0.86736111111111114</v>
      </c>
    </row>
    <row r="14" spans="1:41" s="3" customFormat="1" ht="15" customHeight="1" x14ac:dyDescent="0.3">
      <c r="A14" s="102">
        <v>10</v>
      </c>
      <c r="B14" s="97" t="s">
        <v>48</v>
      </c>
      <c r="C14" s="96"/>
      <c r="D14" s="74">
        <f>D13+"0:01"</f>
        <v>0.19652777777777775</v>
      </c>
      <c r="E14" s="74">
        <f t="shared" si="65"/>
        <v>0.21874999999999997</v>
      </c>
      <c r="F14" s="74">
        <f t="shared" si="65"/>
        <v>0.2381944444444444</v>
      </c>
      <c r="G14" s="74">
        <f t="shared" si="65"/>
        <v>0.24652777777777776</v>
      </c>
      <c r="H14" s="74">
        <f t="shared" si="66"/>
        <v>0.26041666666666641</v>
      </c>
      <c r="I14" s="74">
        <f t="shared" si="67"/>
        <v>0.27986111111111106</v>
      </c>
      <c r="J14" s="74">
        <f t="shared" si="68"/>
        <v>0.28819444444444442</v>
      </c>
      <c r="K14" s="74">
        <f t="shared" si="69"/>
        <v>0.30208333333333343</v>
      </c>
      <c r="L14" s="74">
        <f t="shared" si="70"/>
        <v>0.30902777777777773</v>
      </c>
      <c r="M14" s="74">
        <f t="shared" si="70"/>
        <v>0.32152777777777808</v>
      </c>
      <c r="N14" s="74">
        <f t="shared" si="71"/>
        <v>0.34375</v>
      </c>
      <c r="O14" s="74">
        <f t="shared" si="65"/>
        <v>0.36319444444444443</v>
      </c>
      <c r="P14" s="74">
        <f t="shared" si="72"/>
        <v>0.38541666666666669</v>
      </c>
      <c r="Q14" s="74">
        <f t="shared" si="73"/>
        <v>0.40486111111111112</v>
      </c>
      <c r="R14" s="74">
        <f t="shared" si="74"/>
        <v>0.42708333333333331</v>
      </c>
      <c r="S14" s="74">
        <f t="shared" si="75"/>
        <v>0.4465277777777778</v>
      </c>
      <c r="T14" s="74">
        <f t="shared" si="76"/>
        <v>0.46875</v>
      </c>
      <c r="U14" s="74">
        <f t="shared" si="77"/>
        <v>0.48819444444444443</v>
      </c>
      <c r="V14" s="74">
        <f t="shared" si="78"/>
        <v>0.51041666666666663</v>
      </c>
      <c r="W14" s="74">
        <f t="shared" si="79"/>
        <v>0.52986111111111112</v>
      </c>
      <c r="X14" s="74">
        <f t="shared" si="80"/>
        <v>0.55208333333333337</v>
      </c>
      <c r="Y14" s="74">
        <f t="shared" si="65"/>
        <v>0.57152777777777775</v>
      </c>
      <c r="Z14" s="74">
        <f t="shared" si="65"/>
        <v>0.59375</v>
      </c>
      <c r="AA14" s="74">
        <f t="shared" si="81"/>
        <v>0.61319444444444449</v>
      </c>
      <c r="AB14" s="74">
        <f t="shared" si="82"/>
        <v>0.62152777777777779</v>
      </c>
      <c r="AC14" s="74">
        <f t="shared" si="83"/>
        <v>0.63541666666666663</v>
      </c>
      <c r="AD14" s="74">
        <f t="shared" si="84"/>
        <v>0.65486111111111112</v>
      </c>
      <c r="AE14" s="74">
        <f t="shared" si="85"/>
        <v>0.66319444444444442</v>
      </c>
      <c r="AF14" s="74">
        <f t="shared" si="86"/>
        <v>0.67708333333333326</v>
      </c>
      <c r="AG14" s="74">
        <f t="shared" si="87"/>
        <v>0.69652777777777775</v>
      </c>
      <c r="AH14" s="74">
        <f t="shared" si="88"/>
        <v>0.70486111111111105</v>
      </c>
      <c r="AI14" s="74">
        <f t="shared" si="89"/>
        <v>0.71874999999999989</v>
      </c>
      <c r="AJ14" s="74">
        <f t="shared" si="90"/>
        <v>0.73819444444444449</v>
      </c>
      <c r="AK14" s="74">
        <f t="shared" si="91"/>
        <v>0.74652777777777779</v>
      </c>
      <c r="AL14" s="74">
        <f t="shared" si="91"/>
        <v>0.76041666666666663</v>
      </c>
      <c r="AM14" s="74">
        <f t="shared" si="92"/>
        <v>0.77986111111111112</v>
      </c>
      <c r="AN14" s="74">
        <f t="shared" si="93"/>
        <v>0.82152777777777775</v>
      </c>
      <c r="AO14" s="103">
        <f>AO13+"0:01"</f>
        <v>0.86805555555555558</v>
      </c>
    </row>
    <row r="15" spans="1:41" s="3" customFormat="1" ht="15" customHeight="1" x14ac:dyDescent="0.3">
      <c r="A15" s="102">
        <v>11</v>
      </c>
      <c r="B15" s="97" t="s">
        <v>60</v>
      </c>
      <c r="C15" s="96"/>
      <c r="D15" s="74">
        <f t="shared" ref="D15:Y15" si="94">D14+"0:02"</f>
        <v>0.19791666666666663</v>
      </c>
      <c r="E15" s="74">
        <f t="shared" si="94"/>
        <v>0.22013888888888886</v>
      </c>
      <c r="F15" s="74">
        <f t="shared" si="94"/>
        <v>0.23958333333333329</v>
      </c>
      <c r="G15" s="74">
        <f t="shared" si="94"/>
        <v>0.24791666666666665</v>
      </c>
      <c r="H15" s="74">
        <f t="shared" ref="H15:J15" si="95">H14+"0:02"</f>
        <v>0.26180555555555529</v>
      </c>
      <c r="I15" s="74">
        <f t="shared" si="95"/>
        <v>0.28124999999999994</v>
      </c>
      <c r="J15" s="74">
        <f t="shared" si="95"/>
        <v>0.2895833333333333</v>
      </c>
      <c r="K15" s="74">
        <f t="shared" ref="K15:N15" si="96">K14+"0:02"</f>
        <v>0.30347222222222231</v>
      </c>
      <c r="L15" s="74">
        <f t="shared" ref="L15" si="97">L14+"0:02"</f>
        <v>0.31041666666666662</v>
      </c>
      <c r="M15" s="74">
        <f t="shared" si="96"/>
        <v>0.32291666666666696</v>
      </c>
      <c r="N15" s="74">
        <f t="shared" si="96"/>
        <v>0.34513888888888888</v>
      </c>
      <c r="O15" s="74">
        <f t="shared" si="94"/>
        <v>0.36458333333333331</v>
      </c>
      <c r="P15" s="74">
        <f t="shared" si="94"/>
        <v>0.38680555555555557</v>
      </c>
      <c r="Q15" s="74">
        <f t="shared" ref="Q15:T15" si="98">Q14+"0:02"</f>
        <v>0.40625</v>
      </c>
      <c r="R15" s="74">
        <f t="shared" si="98"/>
        <v>0.4284722222222222</v>
      </c>
      <c r="S15" s="74">
        <f t="shared" si="98"/>
        <v>0.44791666666666669</v>
      </c>
      <c r="T15" s="74">
        <f t="shared" si="98"/>
        <v>0.47013888888888888</v>
      </c>
      <c r="U15" s="74">
        <f t="shared" ref="U15:X15" si="99">U14+"0:02"</f>
        <v>0.48958333333333331</v>
      </c>
      <c r="V15" s="74">
        <f t="shared" si="99"/>
        <v>0.51180555555555551</v>
      </c>
      <c r="W15" s="74">
        <f t="shared" si="99"/>
        <v>0.53125</v>
      </c>
      <c r="X15" s="74">
        <f t="shared" si="99"/>
        <v>0.55347222222222225</v>
      </c>
      <c r="Y15" s="74">
        <f t="shared" si="94"/>
        <v>0.57291666666666663</v>
      </c>
      <c r="Z15" s="74">
        <f t="shared" ref="Z15:AB15" si="100">Z14+"0:02"</f>
        <v>0.59513888888888888</v>
      </c>
      <c r="AA15" s="74">
        <f t="shared" si="100"/>
        <v>0.61458333333333337</v>
      </c>
      <c r="AB15" s="74">
        <f t="shared" si="100"/>
        <v>0.62291666666666667</v>
      </c>
      <c r="AC15" s="74">
        <f t="shared" ref="AC15:AE15" si="101">AC14+"0:02"</f>
        <v>0.63680555555555551</v>
      </c>
      <c r="AD15" s="74">
        <f t="shared" si="101"/>
        <v>0.65625</v>
      </c>
      <c r="AE15" s="74">
        <f t="shared" si="101"/>
        <v>0.6645833333333333</v>
      </c>
      <c r="AF15" s="74">
        <f t="shared" ref="AF15:AH15" si="102">AF14+"0:02"</f>
        <v>0.67847222222222214</v>
      </c>
      <c r="AG15" s="74">
        <f t="shared" si="102"/>
        <v>0.69791666666666663</v>
      </c>
      <c r="AH15" s="74">
        <f t="shared" si="102"/>
        <v>0.70624999999999993</v>
      </c>
      <c r="AI15" s="74">
        <f t="shared" ref="AI15:AK15" si="103">AI14+"0:02"</f>
        <v>0.72013888888888877</v>
      </c>
      <c r="AJ15" s="74">
        <f t="shared" si="103"/>
        <v>0.73958333333333337</v>
      </c>
      <c r="AK15" s="74">
        <f t="shared" si="103"/>
        <v>0.74791666666666667</v>
      </c>
      <c r="AL15" s="74">
        <f t="shared" ref="AL15:AN15" si="104">AL14+"0:02"</f>
        <v>0.76180555555555551</v>
      </c>
      <c r="AM15" s="74">
        <f t="shared" si="104"/>
        <v>0.78125</v>
      </c>
      <c r="AN15" s="74">
        <f t="shared" si="104"/>
        <v>0.82291666666666663</v>
      </c>
      <c r="AO15" s="103">
        <f>AO14+"0:02"</f>
        <v>0.86944444444444446</v>
      </c>
    </row>
    <row r="16" spans="1:41" s="3" customFormat="1" ht="15" customHeight="1" x14ac:dyDescent="0.3">
      <c r="A16" s="102">
        <v>12</v>
      </c>
      <c r="B16" s="97" t="s">
        <v>56</v>
      </c>
      <c r="C16" s="96"/>
      <c r="D16" s="90" t="s">
        <v>14</v>
      </c>
      <c r="E16" s="90" t="s">
        <v>14</v>
      </c>
      <c r="F16" s="90" t="s">
        <v>14</v>
      </c>
      <c r="G16" s="90" t="s">
        <v>14</v>
      </c>
      <c r="H16" s="90" t="s">
        <v>14</v>
      </c>
      <c r="I16" s="90" t="s">
        <v>14</v>
      </c>
      <c r="J16" s="90" t="s">
        <v>14</v>
      </c>
      <c r="K16" s="90" t="s">
        <v>14</v>
      </c>
      <c r="L16" s="90" t="s">
        <v>14</v>
      </c>
      <c r="M16" s="90" t="s">
        <v>14</v>
      </c>
      <c r="N16" s="90" t="s">
        <v>14</v>
      </c>
      <c r="O16" s="90" t="s">
        <v>14</v>
      </c>
      <c r="P16" s="90" t="s">
        <v>14</v>
      </c>
      <c r="Q16" s="90" t="s">
        <v>14</v>
      </c>
      <c r="R16" s="90" t="s">
        <v>14</v>
      </c>
      <c r="S16" s="90" t="s">
        <v>14</v>
      </c>
      <c r="T16" s="90" t="s">
        <v>14</v>
      </c>
      <c r="U16" s="90" t="s">
        <v>14</v>
      </c>
      <c r="V16" s="90" t="s">
        <v>14</v>
      </c>
      <c r="W16" s="90" t="s">
        <v>14</v>
      </c>
      <c r="X16" s="90" t="s">
        <v>14</v>
      </c>
      <c r="Y16" s="90" t="s">
        <v>14</v>
      </c>
      <c r="Z16" s="90" t="s">
        <v>14</v>
      </c>
      <c r="AA16" s="90" t="s">
        <v>14</v>
      </c>
      <c r="AB16" s="90" t="s">
        <v>14</v>
      </c>
      <c r="AC16" s="90" t="s">
        <v>14</v>
      </c>
      <c r="AD16" s="90" t="s">
        <v>14</v>
      </c>
      <c r="AE16" s="90" t="s">
        <v>14</v>
      </c>
      <c r="AF16" s="90" t="s">
        <v>14</v>
      </c>
      <c r="AG16" s="90" t="s">
        <v>14</v>
      </c>
      <c r="AH16" s="90" t="s">
        <v>14</v>
      </c>
      <c r="AI16" s="90" t="s">
        <v>14</v>
      </c>
      <c r="AJ16" s="90" t="s">
        <v>14</v>
      </c>
      <c r="AK16" s="90" t="s">
        <v>14</v>
      </c>
      <c r="AL16" s="90" t="s">
        <v>14</v>
      </c>
      <c r="AM16" s="90" t="s">
        <v>14</v>
      </c>
      <c r="AN16" s="90" t="s">
        <v>14</v>
      </c>
      <c r="AO16" s="143" t="s">
        <v>14</v>
      </c>
    </row>
    <row r="17" spans="1:42" s="3" customFormat="1" ht="15" customHeight="1" x14ac:dyDescent="0.3">
      <c r="A17" s="102">
        <v>13</v>
      </c>
      <c r="B17" s="97" t="s">
        <v>57</v>
      </c>
      <c r="C17" s="96"/>
      <c r="D17" s="90" t="s">
        <v>14</v>
      </c>
      <c r="E17" s="90" t="s">
        <v>14</v>
      </c>
      <c r="F17" s="90" t="s">
        <v>14</v>
      </c>
      <c r="G17" s="90" t="s">
        <v>14</v>
      </c>
      <c r="H17" s="90" t="s">
        <v>14</v>
      </c>
      <c r="I17" s="90" t="s">
        <v>14</v>
      </c>
      <c r="J17" s="90" t="s">
        <v>14</v>
      </c>
      <c r="K17" s="90" t="s">
        <v>14</v>
      </c>
      <c r="L17" s="90" t="s">
        <v>14</v>
      </c>
      <c r="M17" s="90" t="s">
        <v>14</v>
      </c>
      <c r="N17" s="90" t="s">
        <v>14</v>
      </c>
      <c r="O17" s="90" t="s">
        <v>14</v>
      </c>
      <c r="P17" s="90" t="s">
        <v>14</v>
      </c>
      <c r="Q17" s="90" t="s">
        <v>14</v>
      </c>
      <c r="R17" s="90" t="s">
        <v>14</v>
      </c>
      <c r="S17" s="90" t="s">
        <v>14</v>
      </c>
      <c r="T17" s="90" t="s">
        <v>14</v>
      </c>
      <c r="U17" s="90" t="s">
        <v>14</v>
      </c>
      <c r="V17" s="90" t="s">
        <v>14</v>
      </c>
      <c r="W17" s="90" t="s">
        <v>14</v>
      </c>
      <c r="X17" s="90" t="s">
        <v>14</v>
      </c>
      <c r="Y17" s="90" t="s">
        <v>14</v>
      </c>
      <c r="Z17" s="90" t="s">
        <v>14</v>
      </c>
      <c r="AA17" s="90" t="s">
        <v>14</v>
      </c>
      <c r="AB17" s="90" t="s">
        <v>14</v>
      </c>
      <c r="AC17" s="90" t="s">
        <v>14</v>
      </c>
      <c r="AD17" s="90" t="s">
        <v>14</v>
      </c>
      <c r="AE17" s="90" t="s">
        <v>14</v>
      </c>
      <c r="AF17" s="90" t="s">
        <v>14</v>
      </c>
      <c r="AG17" s="90" t="s">
        <v>14</v>
      </c>
      <c r="AH17" s="90" t="s">
        <v>14</v>
      </c>
      <c r="AI17" s="90" t="s">
        <v>14</v>
      </c>
      <c r="AJ17" s="90" t="s">
        <v>14</v>
      </c>
      <c r="AK17" s="90" t="s">
        <v>14</v>
      </c>
      <c r="AL17" s="90" t="s">
        <v>14</v>
      </c>
      <c r="AM17" s="90" t="s">
        <v>14</v>
      </c>
      <c r="AN17" s="90" t="s">
        <v>14</v>
      </c>
      <c r="AO17" s="143" t="s">
        <v>14</v>
      </c>
    </row>
    <row r="18" spans="1:42" s="3" customFormat="1" ht="15" customHeight="1" x14ac:dyDescent="0.3">
      <c r="A18" s="102">
        <v>14</v>
      </c>
      <c r="B18" s="97" t="s">
        <v>58</v>
      </c>
      <c r="C18" s="96"/>
      <c r="D18" s="90" t="s">
        <v>14</v>
      </c>
      <c r="E18" s="90" t="s">
        <v>14</v>
      </c>
      <c r="F18" s="90" t="s">
        <v>14</v>
      </c>
      <c r="G18" s="90" t="s">
        <v>14</v>
      </c>
      <c r="H18" s="90" t="s">
        <v>14</v>
      </c>
      <c r="I18" s="90" t="s">
        <v>14</v>
      </c>
      <c r="J18" s="90" t="s">
        <v>14</v>
      </c>
      <c r="K18" s="90" t="s">
        <v>14</v>
      </c>
      <c r="L18" s="90" t="s">
        <v>14</v>
      </c>
      <c r="M18" s="90" t="s">
        <v>14</v>
      </c>
      <c r="N18" s="90" t="s">
        <v>14</v>
      </c>
      <c r="O18" s="90" t="s">
        <v>14</v>
      </c>
      <c r="P18" s="90" t="s">
        <v>14</v>
      </c>
      <c r="Q18" s="90" t="s">
        <v>14</v>
      </c>
      <c r="R18" s="90" t="s">
        <v>14</v>
      </c>
      <c r="S18" s="90" t="s">
        <v>14</v>
      </c>
      <c r="T18" s="90" t="s">
        <v>14</v>
      </c>
      <c r="U18" s="90" t="s">
        <v>14</v>
      </c>
      <c r="V18" s="90" t="s">
        <v>14</v>
      </c>
      <c r="W18" s="90" t="s">
        <v>14</v>
      </c>
      <c r="X18" s="90" t="s">
        <v>14</v>
      </c>
      <c r="Y18" s="90" t="s">
        <v>14</v>
      </c>
      <c r="Z18" s="90" t="s">
        <v>14</v>
      </c>
      <c r="AA18" s="90" t="s">
        <v>14</v>
      </c>
      <c r="AB18" s="90" t="s">
        <v>14</v>
      </c>
      <c r="AC18" s="90" t="s">
        <v>14</v>
      </c>
      <c r="AD18" s="90" t="s">
        <v>14</v>
      </c>
      <c r="AE18" s="90" t="s">
        <v>14</v>
      </c>
      <c r="AF18" s="90" t="s">
        <v>14</v>
      </c>
      <c r="AG18" s="90" t="s">
        <v>14</v>
      </c>
      <c r="AH18" s="90" t="s">
        <v>14</v>
      </c>
      <c r="AI18" s="90" t="s">
        <v>14</v>
      </c>
      <c r="AJ18" s="90" t="s">
        <v>14</v>
      </c>
      <c r="AK18" s="90" t="s">
        <v>14</v>
      </c>
      <c r="AL18" s="90" t="s">
        <v>14</v>
      </c>
      <c r="AM18" s="90" t="s">
        <v>14</v>
      </c>
      <c r="AN18" s="90" t="s">
        <v>14</v>
      </c>
      <c r="AO18" s="143" t="s">
        <v>14</v>
      </c>
    </row>
    <row r="19" spans="1:42" s="3" customFormat="1" ht="15" customHeight="1" thickBot="1" x14ac:dyDescent="0.35">
      <c r="A19" s="102">
        <v>15</v>
      </c>
      <c r="B19" s="105" t="s">
        <v>59</v>
      </c>
      <c r="C19" s="106" t="s">
        <v>84</v>
      </c>
      <c r="D19" s="107">
        <f t="shared" ref="D19:Y19" si="105">D15+"0:02"</f>
        <v>0.19930555555555551</v>
      </c>
      <c r="E19" s="107">
        <f t="shared" si="105"/>
        <v>0.22152777777777774</v>
      </c>
      <c r="F19" s="107">
        <f t="shared" si="105"/>
        <v>0.24097222222222217</v>
      </c>
      <c r="G19" s="107">
        <f t="shared" si="105"/>
        <v>0.24930555555555553</v>
      </c>
      <c r="H19" s="107">
        <f t="shared" ref="H19:J19" si="106">H15+"0:02"</f>
        <v>0.26319444444444418</v>
      </c>
      <c r="I19" s="107">
        <f t="shared" si="106"/>
        <v>0.28263888888888883</v>
      </c>
      <c r="J19" s="107">
        <f t="shared" si="106"/>
        <v>0.29097222222222219</v>
      </c>
      <c r="K19" s="107">
        <f t="shared" ref="K19:N19" si="107">K15+"0:02"</f>
        <v>0.30486111111111119</v>
      </c>
      <c r="L19" s="107">
        <f t="shared" ref="L19" si="108">L15+"0:02"</f>
        <v>0.3118055555555555</v>
      </c>
      <c r="M19" s="107">
        <f t="shared" si="107"/>
        <v>0.32430555555555585</v>
      </c>
      <c r="N19" s="107">
        <f t="shared" si="107"/>
        <v>0.34652777777777777</v>
      </c>
      <c r="O19" s="107">
        <f t="shared" si="105"/>
        <v>0.3659722222222222</v>
      </c>
      <c r="P19" s="107">
        <f t="shared" si="105"/>
        <v>0.38819444444444445</v>
      </c>
      <c r="Q19" s="107">
        <f t="shared" ref="Q19:T19" si="109">Q15+"0:02"</f>
        <v>0.40763888888888888</v>
      </c>
      <c r="R19" s="107">
        <f t="shared" si="109"/>
        <v>0.42986111111111108</v>
      </c>
      <c r="S19" s="107">
        <f t="shared" si="109"/>
        <v>0.44930555555555557</v>
      </c>
      <c r="T19" s="107">
        <f t="shared" si="109"/>
        <v>0.47152777777777777</v>
      </c>
      <c r="U19" s="107">
        <f t="shared" ref="U19:X19" si="110">U15+"0:02"</f>
        <v>0.4909722222222222</v>
      </c>
      <c r="V19" s="107">
        <f t="shared" si="110"/>
        <v>0.5131944444444444</v>
      </c>
      <c r="W19" s="107">
        <f t="shared" si="110"/>
        <v>0.53263888888888888</v>
      </c>
      <c r="X19" s="107">
        <f t="shared" si="110"/>
        <v>0.55486111111111114</v>
      </c>
      <c r="Y19" s="107">
        <f t="shared" si="105"/>
        <v>0.57430555555555551</v>
      </c>
      <c r="Z19" s="107">
        <f t="shared" ref="Z19:AB19" si="111">Z15+"0:02"</f>
        <v>0.59652777777777777</v>
      </c>
      <c r="AA19" s="107">
        <f t="shared" si="111"/>
        <v>0.61597222222222225</v>
      </c>
      <c r="AB19" s="107">
        <f t="shared" si="111"/>
        <v>0.62430555555555556</v>
      </c>
      <c r="AC19" s="107">
        <f t="shared" ref="AC19:AE19" si="112">AC15+"0:02"</f>
        <v>0.6381944444444444</v>
      </c>
      <c r="AD19" s="107">
        <f t="shared" si="112"/>
        <v>0.65763888888888888</v>
      </c>
      <c r="AE19" s="107">
        <f t="shared" si="112"/>
        <v>0.66597222222222219</v>
      </c>
      <c r="AF19" s="107">
        <f t="shared" ref="AF19:AH19" si="113">AF15+"0:02"</f>
        <v>0.67986111111111103</v>
      </c>
      <c r="AG19" s="107">
        <f t="shared" si="113"/>
        <v>0.69930555555555551</v>
      </c>
      <c r="AH19" s="107">
        <f t="shared" si="113"/>
        <v>0.70763888888888882</v>
      </c>
      <c r="AI19" s="107">
        <f t="shared" ref="AI19:AK19" si="114">AI15+"0:02"</f>
        <v>0.72152777777777766</v>
      </c>
      <c r="AJ19" s="107">
        <f t="shared" si="114"/>
        <v>0.74097222222222225</v>
      </c>
      <c r="AK19" s="107">
        <f t="shared" si="114"/>
        <v>0.74930555555555556</v>
      </c>
      <c r="AL19" s="107">
        <f t="shared" ref="AL19:AN19" si="115">AL15+"0:02"</f>
        <v>0.7631944444444444</v>
      </c>
      <c r="AM19" s="107">
        <f t="shared" si="115"/>
        <v>0.78263888888888888</v>
      </c>
      <c r="AN19" s="107">
        <f t="shared" si="115"/>
        <v>0.82430555555555551</v>
      </c>
      <c r="AO19" s="108">
        <f>AO15+"0:02"</f>
        <v>0.87083333333333335</v>
      </c>
    </row>
    <row r="20" spans="1:42" s="29" customFormat="1" ht="13.8" thickBot="1" x14ac:dyDescent="0.35">
      <c r="B20" s="13" t="s">
        <v>2</v>
      </c>
      <c r="C20" s="35"/>
      <c r="D20" s="88">
        <v>7</v>
      </c>
      <c r="E20" s="88">
        <v>4.9000000000000004</v>
      </c>
      <c r="F20" s="88">
        <v>7</v>
      </c>
      <c r="G20" s="88">
        <v>4.9000000000000004</v>
      </c>
      <c r="H20" s="88">
        <v>4.9000000000000004</v>
      </c>
      <c r="I20" s="88">
        <v>7</v>
      </c>
      <c r="J20" s="88">
        <v>4.9000000000000004</v>
      </c>
      <c r="K20" s="88">
        <v>4.9000000000000004</v>
      </c>
      <c r="L20" s="88">
        <v>4.9000000000000004</v>
      </c>
      <c r="M20" s="88">
        <v>7</v>
      </c>
      <c r="N20" s="88">
        <v>4.9000000000000004</v>
      </c>
      <c r="O20" s="88">
        <v>4.9000000000000004</v>
      </c>
      <c r="P20" s="88">
        <v>4.9000000000000004</v>
      </c>
      <c r="Q20" s="88">
        <v>4.9000000000000004</v>
      </c>
      <c r="R20" s="88">
        <v>4.9000000000000004</v>
      </c>
      <c r="S20" s="88">
        <v>4.9000000000000004</v>
      </c>
      <c r="T20" s="88">
        <v>4.9000000000000004</v>
      </c>
      <c r="U20" s="88">
        <v>4.9000000000000004</v>
      </c>
      <c r="V20" s="88">
        <v>4.9000000000000004</v>
      </c>
      <c r="W20" s="88">
        <v>4.9000000000000004</v>
      </c>
      <c r="X20" s="88">
        <v>4.9000000000000004</v>
      </c>
      <c r="Y20" s="88">
        <v>4.9000000000000004</v>
      </c>
      <c r="Z20" s="88">
        <v>4.9000000000000004</v>
      </c>
      <c r="AA20" s="88">
        <v>7</v>
      </c>
      <c r="AB20" s="88">
        <v>4.9000000000000004</v>
      </c>
      <c r="AC20" s="88">
        <v>4.9000000000000004</v>
      </c>
      <c r="AD20" s="88">
        <v>7</v>
      </c>
      <c r="AE20" s="88">
        <v>4.9000000000000004</v>
      </c>
      <c r="AF20" s="88">
        <v>4.9000000000000004</v>
      </c>
      <c r="AG20" s="88">
        <v>7</v>
      </c>
      <c r="AH20" s="88">
        <v>4.9000000000000004</v>
      </c>
      <c r="AI20" s="88">
        <v>4.9000000000000004</v>
      </c>
      <c r="AJ20" s="88">
        <v>7</v>
      </c>
      <c r="AK20" s="88">
        <v>4.9000000000000004</v>
      </c>
      <c r="AL20" s="88">
        <v>4.9000000000000004</v>
      </c>
      <c r="AM20" s="88">
        <v>4.9000000000000004</v>
      </c>
      <c r="AN20" s="88">
        <v>4.9000000000000004</v>
      </c>
      <c r="AO20" s="88">
        <v>4.9000000000000004</v>
      </c>
      <c r="AP20" s="37">
        <f>SUM(D20:Y20)</f>
        <v>116.20000000000005</v>
      </c>
    </row>
    <row r="21" spans="1:42" x14ac:dyDescent="0.3">
      <c r="J21" s="64"/>
      <c r="AG21" s="54"/>
    </row>
    <row r="22" spans="1:42" ht="75" customHeight="1" x14ac:dyDescent="0.3"/>
    <row r="24" spans="1:42" s="3" customFormat="1" ht="18" customHeight="1" x14ac:dyDescent="0.3">
      <c r="A24" s="2" t="s">
        <v>11</v>
      </c>
      <c r="B24" s="2"/>
      <c r="C24" s="21"/>
      <c r="D24" s="2" t="s">
        <v>91</v>
      </c>
    </row>
    <row r="25" spans="1:42" s="27" customFormat="1" ht="18" customHeight="1" x14ac:dyDescent="0.3">
      <c r="A25" s="43"/>
      <c r="B25" s="43"/>
      <c r="C25" s="53"/>
      <c r="D25" s="44"/>
    </row>
    <row r="26" spans="1:42" s="18" customFormat="1" ht="15" customHeight="1" thickBot="1" x14ac:dyDescent="0.35">
      <c r="A26" s="8"/>
      <c r="B26" s="66" t="s">
        <v>15</v>
      </c>
      <c r="C26" s="18" t="s">
        <v>5</v>
      </c>
      <c r="D26" s="18" t="s">
        <v>5</v>
      </c>
    </row>
    <row r="27" spans="1:42" s="18" customFormat="1" ht="15" customHeight="1" x14ac:dyDescent="0.3">
      <c r="A27" s="55" t="s">
        <v>1</v>
      </c>
      <c r="B27" s="155"/>
      <c r="C27" s="156"/>
      <c r="D27" s="67">
        <v>2</v>
      </c>
      <c r="E27" s="68">
        <f>D27+2</f>
        <v>4</v>
      </c>
      <c r="F27" s="68">
        <f t="shared" ref="F27:AI27" si="116">E27+2</f>
        <v>6</v>
      </c>
      <c r="G27" s="68">
        <f t="shared" si="116"/>
        <v>8</v>
      </c>
      <c r="H27" s="68">
        <f t="shared" si="116"/>
        <v>10</v>
      </c>
      <c r="I27" s="68">
        <f t="shared" si="116"/>
        <v>12</v>
      </c>
      <c r="J27" s="68">
        <f t="shared" si="116"/>
        <v>14</v>
      </c>
      <c r="K27" s="68">
        <f t="shared" si="116"/>
        <v>16</v>
      </c>
      <c r="L27" s="68">
        <f t="shared" si="116"/>
        <v>18</v>
      </c>
      <c r="M27" s="68">
        <f t="shared" si="116"/>
        <v>20</v>
      </c>
      <c r="N27" s="68">
        <f t="shared" si="116"/>
        <v>22</v>
      </c>
      <c r="O27" s="68">
        <f t="shared" si="116"/>
        <v>24</v>
      </c>
      <c r="P27" s="68">
        <f t="shared" si="116"/>
        <v>26</v>
      </c>
      <c r="Q27" s="68">
        <f t="shared" si="116"/>
        <v>28</v>
      </c>
      <c r="R27" s="68">
        <f t="shared" si="116"/>
        <v>30</v>
      </c>
      <c r="S27" s="68">
        <f t="shared" si="116"/>
        <v>32</v>
      </c>
      <c r="T27" s="68">
        <f t="shared" si="116"/>
        <v>34</v>
      </c>
      <c r="U27" s="68">
        <f t="shared" si="116"/>
        <v>36</v>
      </c>
      <c r="V27" s="68">
        <f t="shared" si="116"/>
        <v>38</v>
      </c>
      <c r="W27" s="68">
        <f t="shared" si="116"/>
        <v>40</v>
      </c>
      <c r="X27" s="68">
        <f t="shared" si="116"/>
        <v>42</v>
      </c>
      <c r="Y27" s="68">
        <f t="shared" si="116"/>
        <v>44</v>
      </c>
      <c r="Z27" s="68">
        <f t="shared" si="116"/>
        <v>46</v>
      </c>
      <c r="AA27" s="68">
        <f t="shared" si="116"/>
        <v>48</v>
      </c>
      <c r="AB27" s="68">
        <f t="shared" si="116"/>
        <v>50</v>
      </c>
      <c r="AC27" s="68">
        <f t="shared" si="116"/>
        <v>52</v>
      </c>
      <c r="AD27" s="68">
        <f t="shared" si="116"/>
        <v>54</v>
      </c>
      <c r="AE27" s="68">
        <f t="shared" si="116"/>
        <v>56</v>
      </c>
      <c r="AF27" s="68">
        <f t="shared" si="116"/>
        <v>58</v>
      </c>
      <c r="AG27" s="68">
        <f t="shared" si="116"/>
        <v>60</v>
      </c>
      <c r="AH27" s="68">
        <f t="shared" si="116"/>
        <v>62</v>
      </c>
      <c r="AI27" s="157">
        <f t="shared" si="116"/>
        <v>64</v>
      </c>
    </row>
    <row r="28" spans="1:42" s="33" customFormat="1" ht="15" customHeight="1" x14ac:dyDescent="0.3">
      <c r="A28" s="158">
        <v>15</v>
      </c>
      <c r="B28" s="17" t="s">
        <v>59</v>
      </c>
      <c r="C28" s="57" t="s">
        <v>83</v>
      </c>
      <c r="D28" s="81">
        <v>0.21736111111111112</v>
      </c>
      <c r="E28" s="81">
        <v>0.23472222222222219</v>
      </c>
      <c r="F28" s="81">
        <v>0.2590277777777778</v>
      </c>
      <c r="G28" s="81">
        <v>0.27638888888888885</v>
      </c>
      <c r="H28" s="81">
        <v>0.30069444444444443</v>
      </c>
      <c r="I28" s="81">
        <v>0.31805555555555554</v>
      </c>
      <c r="J28" s="81">
        <v>0.33888888888888885</v>
      </c>
      <c r="K28" s="81">
        <v>0.35972222222222222</v>
      </c>
      <c r="L28" s="81">
        <v>0.38055555555555554</v>
      </c>
      <c r="M28" s="81">
        <v>0.40138888888888885</v>
      </c>
      <c r="N28" s="81">
        <v>0.42222222222222222</v>
      </c>
      <c r="O28" s="81">
        <v>0.44305555555555554</v>
      </c>
      <c r="P28" s="81">
        <v>0.46388888888888885</v>
      </c>
      <c r="Q28" s="81">
        <v>0.48472222222222222</v>
      </c>
      <c r="R28" s="81">
        <v>0.50555555555555554</v>
      </c>
      <c r="S28" s="81">
        <v>0.52638888888888891</v>
      </c>
      <c r="T28" s="81">
        <v>0.54722222222222217</v>
      </c>
      <c r="U28" s="73">
        <v>0.56805555555555554</v>
      </c>
      <c r="V28" s="73">
        <v>0.58888888888888891</v>
      </c>
      <c r="W28" s="73">
        <v>0.60972222222222217</v>
      </c>
      <c r="X28" s="73">
        <v>0.63402777777777775</v>
      </c>
      <c r="Y28" s="73">
        <v>0.65138888888888891</v>
      </c>
      <c r="Z28" s="73">
        <v>0.67569444444444438</v>
      </c>
      <c r="AA28" s="73">
        <v>0.69305555555555554</v>
      </c>
      <c r="AB28" s="73">
        <v>0.71736111111111101</v>
      </c>
      <c r="AC28" s="73">
        <v>0.73472222222222217</v>
      </c>
      <c r="AD28" s="73">
        <v>0.75902777777777775</v>
      </c>
      <c r="AE28" s="73">
        <v>0.77638888888888891</v>
      </c>
      <c r="AF28" s="73">
        <v>0.79722222222222217</v>
      </c>
      <c r="AG28" s="73">
        <v>0.81805555555555554</v>
      </c>
      <c r="AH28" s="73">
        <v>0.83888888888888891</v>
      </c>
      <c r="AI28" s="115">
        <v>0.85972222222222217</v>
      </c>
    </row>
    <row r="29" spans="1:42" s="18" customFormat="1" ht="15" customHeight="1" x14ac:dyDescent="0.3">
      <c r="A29" s="158">
        <v>14</v>
      </c>
      <c r="B29" s="17" t="s">
        <v>60</v>
      </c>
      <c r="C29" s="57"/>
      <c r="D29" s="74">
        <f>D28+"0:02"</f>
        <v>0.21875</v>
      </c>
      <c r="E29" s="74">
        <f>E28+"0:02"</f>
        <v>0.23611111111111108</v>
      </c>
      <c r="F29" s="74">
        <f t="shared" ref="F29:K30" si="117">F28+"0:02"</f>
        <v>0.26041666666666669</v>
      </c>
      <c r="G29" s="74">
        <f t="shared" si="117"/>
        <v>0.27777777777777773</v>
      </c>
      <c r="H29" s="74">
        <f t="shared" si="117"/>
        <v>0.30208333333333331</v>
      </c>
      <c r="I29" s="74">
        <f t="shared" si="117"/>
        <v>0.31944444444444442</v>
      </c>
      <c r="J29" s="74">
        <f t="shared" si="117"/>
        <v>0.34027777777777773</v>
      </c>
      <c r="K29" s="74">
        <f t="shared" si="117"/>
        <v>0.3611111111111111</v>
      </c>
      <c r="L29" s="74">
        <f t="shared" ref="L29:L30" si="118">L28+"0:02"</f>
        <v>0.38194444444444442</v>
      </c>
      <c r="M29" s="74">
        <f t="shared" ref="M29:M30" si="119">M28+"0:02"</f>
        <v>0.40277777777777773</v>
      </c>
      <c r="N29" s="74">
        <f t="shared" ref="N29:N30" si="120">N28+"0:02"</f>
        <v>0.4236111111111111</v>
      </c>
      <c r="O29" s="74">
        <f t="shared" ref="O29:O30" si="121">O28+"0:02"</f>
        <v>0.44444444444444442</v>
      </c>
      <c r="P29" s="74">
        <f t="shared" ref="P29:P30" si="122">P28+"0:02"</f>
        <v>0.46527777777777773</v>
      </c>
      <c r="Q29" s="74">
        <f t="shared" ref="Q29:Q30" si="123">Q28+"0:02"</f>
        <v>0.4861111111111111</v>
      </c>
      <c r="R29" s="74">
        <f t="shared" ref="R29:R30" si="124">R28+"0:02"</f>
        <v>0.50694444444444442</v>
      </c>
      <c r="S29" s="74">
        <f t="shared" ref="S29:S30" si="125">S28+"0:02"</f>
        <v>0.52777777777777779</v>
      </c>
      <c r="T29" s="74">
        <f t="shared" ref="T29:T30" si="126">T28+"0:02"</f>
        <v>0.54861111111111105</v>
      </c>
      <c r="U29" s="74">
        <f t="shared" ref="U29:U30" si="127">U28+"0:02"</f>
        <v>0.56944444444444442</v>
      </c>
      <c r="V29" s="74">
        <f t="shared" ref="V29:V30" si="128">V28+"0:02"</f>
        <v>0.59027777777777779</v>
      </c>
      <c r="W29" s="74">
        <f t="shared" ref="W29:W30" si="129">W28+"0:02"</f>
        <v>0.61111111111111105</v>
      </c>
      <c r="X29" s="74">
        <f t="shared" ref="X29:X30" si="130">X28+"0:02"</f>
        <v>0.63541666666666663</v>
      </c>
      <c r="Y29" s="74">
        <f t="shared" ref="Y29:Y30" si="131">Y28+"0:02"</f>
        <v>0.65277777777777779</v>
      </c>
      <c r="Z29" s="74">
        <f t="shared" ref="Z29:Z30" si="132">Z28+"0:02"</f>
        <v>0.67708333333333326</v>
      </c>
      <c r="AA29" s="74">
        <f t="shared" ref="AA29:AA30" si="133">AA28+"0:02"</f>
        <v>0.69444444444444442</v>
      </c>
      <c r="AB29" s="74">
        <f t="shared" ref="AB29:AB30" si="134">AB28+"0:02"</f>
        <v>0.71874999999999989</v>
      </c>
      <c r="AC29" s="74">
        <f t="shared" ref="AC29:AC30" si="135">AC28+"0:02"</f>
        <v>0.73611111111111105</v>
      </c>
      <c r="AD29" s="74">
        <f t="shared" ref="AD29:AD30" si="136">AD28+"0:02"</f>
        <v>0.76041666666666663</v>
      </c>
      <c r="AE29" s="74">
        <f t="shared" ref="AE29:AE30" si="137">AE28+"0:02"</f>
        <v>0.77777777777777779</v>
      </c>
      <c r="AF29" s="74">
        <f t="shared" ref="AF29:AF30" si="138">AF28+"0:02"</f>
        <v>0.79861111111111105</v>
      </c>
      <c r="AG29" s="74">
        <f t="shared" ref="AG29:AG30" si="139">AG28+"0:02"</f>
        <v>0.81944444444444442</v>
      </c>
      <c r="AH29" s="74">
        <f t="shared" ref="AH29:AI30" si="140">AH28+"0:02"</f>
        <v>0.84027777777777779</v>
      </c>
      <c r="AI29" s="103">
        <f t="shared" si="140"/>
        <v>0.86111111111111105</v>
      </c>
    </row>
    <row r="30" spans="1:42" s="18" customFormat="1" ht="15" customHeight="1" x14ac:dyDescent="0.3">
      <c r="A30" s="158">
        <v>13</v>
      </c>
      <c r="B30" s="17" t="s">
        <v>48</v>
      </c>
      <c r="C30" s="57"/>
      <c r="D30" s="74">
        <f>D29+"0:02"</f>
        <v>0.22013888888888888</v>
      </c>
      <c r="E30" s="74">
        <f>E29+"0:02"</f>
        <v>0.23749999999999996</v>
      </c>
      <c r="F30" s="74">
        <f t="shared" si="117"/>
        <v>0.26180555555555557</v>
      </c>
      <c r="G30" s="74">
        <f t="shared" si="117"/>
        <v>0.27916666666666662</v>
      </c>
      <c r="H30" s="74">
        <f t="shared" si="117"/>
        <v>0.3034722222222222</v>
      </c>
      <c r="I30" s="74">
        <f t="shared" si="117"/>
        <v>0.3208333333333333</v>
      </c>
      <c r="J30" s="74">
        <f t="shared" si="117"/>
        <v>0.34166666666666662</v>
      </c>
      <c r="K30" s="74">
        <f t="shared" si="117"/>
        <v>0.36249999999999999</v>
      </c>
      <c r="L30" s="74">
        <f t="shared" si="118"/>
        <v>0.3833333333333333</v>
      </c>
      <c r="M30" s="74">
        <f t="shared" si="119"/>
        <v>0.40416666666666662</v>
      </c>
      <c r="N30" s="74">
        <f t="shared" si="120"/>
        <v>0.42499999999999999</v>
      </c>
      <c r="O30" s="74">
        <f t="shared" si="121"/>
        <v>0.4458333333333333</v>
      </c>
      <c r="P30" s="74">
        <f t="shared" si="122"/>
        <v>0.46666666666666662</v>
      </c>
      <c r="Q30" s="74">
        <f t="shared" si="123"/>
        <v>0.48749999999999999</v>
      </c>
      <c r="R30" s="74">
        <f t="shared" si="124"/>
        <v>0.5083333333333333</v>
      </c>
      <c r="S30" s="74">
        <f t="shared" si="125"/>
        <v>0.52916666666666667</v>
      </c>
      <c r="T30" s="74">
        <f t="shared" si="126"/>
        <v>0.54999999999999993</v>
      </c>
      <c r="U30" s="74">
        <f t="shared" si="127"/>
        <v>0.5708333333333333</v>
      </c>
      <c r="V30" s="74">
        <f t="shared" si="128"/>
        <v>0.59166666666666667</v>
      </c>
      <c r="W30" s="74">
        <f t="shared" si="129"/>
        <v>0.61249999999999993</v>
      </c>
      <c r="X30" s="74">
        <f t="shared" si="130"/>
        <v>0.63680555555555551</v>
      </c>
      <c r="Y30" s="74">
        <f t="shared" si="131"/>
        <v>0.65416666666666667</v>
      </c>
      <c r="Z30" s="74">
        <f t="shared" si="132"/>
        <v>0.67847222222222214</v>
      </c>
      <c r="AA30" s="74">
        <f t="shared" si="133"/>
        <v>0.6958333333333333</v>
      </c>
      <c r="AB30" s="74">
        <f t="shared" si="134"/>
        <v>0.72013888888888877</v>
      </c>
      <c r="AC30" s="74">
        <f t="shared" si="135"/>
        <v>0.73749999999999993</v>
      </c>
      <c r="AD30" s="74">
        <f t="shared" si="136"/>
        <v>0.76180555555555551</v>
      </c>
      <c r="AE30" s="74">
        <f t="shared" si="137"/>
        <v>0.77916666666666667</v>
      </c>
      <c r="AF30" s="74">
        <f t="shared" si="138"/>
        <v>0.79999999999999993</v>
      </c>
      <c r="AG30" s="74">
        <f t="shared" si="139"/>
        <v>0.8208333333333333</v>
      </c>
      <c r="AH30" s="74">
        <f t="shared" si="140"/>
        <v>0.84166666666666667</v>
      </c>
      <c r="AI30" s="103">
        <f t="shared" si="140"/>
        <v>0.86249999999999993</v>
      </c>
    </row>
    <row r="31" spans="1:42" s="18" customFormat="1" ht="15" customHeight="1" x14ac:dyDescent="0.3">
      <c r="A31" s="158">
        <v>12</v>
      </c>
      <c r="B31" s="17" t="s">
        <v>47</v>
      </c>
      <c r="C31" s="57"/>
      <c r="D31" s="74">
        <f>D30+"0:01"</f>
        <v>0.22083333333333333</v>
      </c>
      <c r="E31" s="74">
        <f>E30+"0:01"</f>
        <v>0.2381944444444444</v>
      </c>
      <c r="F31" s="74">
        <f t="shared" ref="F31:K32" si="141">F30+"0:01"</f>
        <v>0.26250000000000001</v>
      </c>
      <c r="G31" s="74">
        <f t="shared" si="141"/>
        <v>0.27986111111111106</v>
      </c>
      <c r="H31" s="74">
        <f t="shared" si="141"/>
        <v>0.30416666666666664</v>
      </c>
      <c r="I31" s="74">
        <f t="shared" si="141"/>
        <v>0.32152777777777775</v>
      </c>
      <c r="J31" s="74">
        <f t="shared" si="141"/>
        <v>0.34236111111111106</v>
      </c>
      <c r="K31" s="74">
        <f t="shared" si="141"/>
        <v>0.36319444444444443</v>
      </c>
      <c r="L31" s="74">
        <f t="shared" ref="L31:L32" si="142">L30+"0:01"</f>
        <v>0.38402777777777775</v>
      </c>
      <c r="M31" s="74">
        <f t="shared" ref="M31:M32" si="143">M30+"0:01"</f>
        <v>0.40486111111111106</v>
      </c>
      <c r="N31" s="74">
        <f t="shared" ref="N31:N32" si="144">N30+"0:01"</f>
        <v>0.42569444444444443</v>
      </c>
      <c r="O31" s="74">
        <f t="shared" ref="O31:O32" si="145">O30+"0:01"</f>
        <v>0.44652777777777775</v>
      </c>
      <c r="P31" s="74">
        <f t="shared" ref="P31:P32" si="146">P30+"0:01"</f>
        <v>0.46736111111111106</v>
      </c>
      <c r="Q31" s="74">
        <f t="shared" ref="Q31:Q32" si="147">Q30+"0:01"</f>
        <v>0.48819444444444443</v>
      </c>
      <c r="R31" s="74">
        <f t="shared" ref="R31:R32" si="148">R30+"0:01"</f>
        <v>0.50902777777777775</v>
      </c>
      <c r="S31" s="74">
        <f t="shared" ref="S31:S32" si="149">S30+"0:01"</f>
        <v>0.52986111111111112</v>
      </c>
      <c r="T31" s="74">
        <f t="shared" ref="T31:T32" si="150">T30+"0:01"</f>
        <v>0.55069444444444438</v>
      </c>
      <c r="U31" s="74">
        <f t="shared" ref="U31:U32" si="151">U30+"0:01"</f>
        <v>0.57152777777777775</v>
      </c>
      <c r="V31" s="74">
        <f t="shared" ref="V31:V32" si="152">V30+"0:01"</f>
        <v>0.59236111111111112</v>
      </c>
      <c r="W31" s="74">
        <f t="shared" ref="W31:W32" si="153">W30+"0:01"</f>
        <v>0.61319444444444438</v>
      </c>
      <c r="X31" s="74">
        <f t="shared" ref="X31:X32" si="154">X30+"0:01"</f>
        <v>0.63749999999999996</v>
      </c>
      <c r="Y31" s="74">
        <f t="shared" ref="Y31:Y32" si="155">Y30+"0:01"</f>
        <v>0.65486111111111112</v>
      </c>
      <c r="Z31" s="74">
        <f t="shared" ref="Z31:Z32" si="156">Z30+"0:01"</f>
        <v>0.67916666666666659</v>
      </c>
      <c r="AA31" s="74">
        <f t="shared" ref="AA31:AA32" si="157">AA30+"0:01"</f>
        <v>0.69652777777777775</v>
      </c>
      <c r="AB31" s="74">
        <f t="shared" ref="AB31:AB32" si="158">AB30+"0:01"</f>
        <v>0.72083333333333321</v>
      </c>
      <c r="AC31" s="74">
        <f t="shared" ref="AC31:AC32" si="159">AC30+"0:01"</f>
        <v>0.73819444444444438</v>
      </c>
      <c r="AD31" s="74">
        <f t="shared" ref="AD31:AD32" si="160">AD30+"0:01"</f>
        <v>0.76249999999999996</v>
      </c>
      <c r="AE31" s="74">
        <f t="shared" ref="AE31:AE32" si="161">AE30+"0:01"</f>
        <v>0.77986111111111112</v>
      </c>
      <c r="AF31" s="74">
        <f t="shared" ref="AF31:AF32" si="162">AF30+"0:01"</f>
        <v>0.80069444444444438</v>
      </c>
      <c r="AG31" s="74">
        <f t="shared" ref="AG31:AG32" si="163">AG30+"0:01"</f>
        <v>0.82152777777777775</v>
      </c>
      <c r="AH31" s="74">
        <f t="shared" ref="AH31:AI32" si="164">AH30+"0:01"</f>
        <v>0.84236111111111112</v>
      </c>
      <c r="AI31" s="103">
        <f t="shared" si="164"/>
        <v>0.86319444444444438</v>
      </c>
    </row>
    <row r="32" spans="1:42" s="18" customFormat="1" ht="15" customHeight="1" x14ac:dyDescent="0.3">
      <c r="A32" s="158">
        <v>11</v>
      </c>
      <c r="B32" s="17" t="s">
        <v>46</v>
      </c>
      <c r="C32" s="57"/>
      <c r="D32" s="74">
        <f>D31+"0:01"</f>
        <v>0.22152777777777777</v>
      </c>
      <c r="E32" s="74">
        <f>E31+"0:01"</f>
        <v>0.23888888888888885</v>
      </c>
      <c r="F32" s="74">
        <f t="shared" si="141"/>
        <v>0.26319444444444445</v>
      </c>
      <c r="G32" s="74">
        <f t="shared" si="141"/>
        <v>0.2805555555555555</v>
      </c>
      <c r="H32" s="74">
        <f t="shared" si="141"/>
        <v>0.30486111111111108</v>
      </c>
      <c r="I32" s="74">
        <f t="shared" si="141"/>
        <v>0.32222222222222219</v>
      </c>
      <c r="J32" s="74">
        <f t="shared" si="141"/>
        <v>0.3430555555555555</v>
      </c>
      <c r="K32" s="74">
        <f t="shared" si="141"/>
        <v>0.36388888888888887</v>
      </c>
      <c r="L32" s="74">
        <f t="shared" si="142"/>
        <v>0.38472222222222219</v>
      </c>
      <c r="M32" s="74">
        <f t="shared" si="143"/>
        <v>0.4055555555555555</v>
      </c>
      <c r="N32" s="74">
        <f t="shared" si="144"/>
        <v>0.42638888888888887</v>
      </c>
      <c r="O32" s="74">
        <f t="shared" si="145"/>
        <v>0.44722222222222219</v>
      </c>
      <c r="P32" s="74">
        <f t="shared" si="146"/>
        <v>0.4680555555555555</v>
      </c>
      <c r="Q32" s="74">
        <f t="shared" si="147"/>
        <v>0.48888888888888887</v>
      </c>
      <c r="R32" s="74">
        <f t="shared" si="148"/>
        <v>0.50972222222222219</v>
      </c>
      <c r="S32" s="74">
        <f t="shared" si="149"/>
        <v>0.53055555555555556</v>
      </c>
      <c r="T32" s="74">
        <f t="shared" si="150"/>
        <v>0.55138888888888882</v>
      </c>
      <c r="U32" s="74">
        <f t="shared" si="151"/>
        <v>0.57222222222222219</v>
      </c>
      <c r="V32" s="74">
        <f t="shared" si="152"/>
        <v>0.59305555555555556</v>
      </c>
      <c r="W32" s="74">
        <f t="shared" si="153"/>
        <v>0.61388888888888882</v>
      </c>
      <c r="X32" s="74">
        <f t="shared" si="154"/>
        <v>0.6381944444444444</v>
      </c>
      <c r="Y32" s="74">
        <f t="shared" si="155"/>
        <v>0.65555555555555556</v>
      </c>
      <c r="Z32" s="74">
        <f t="shared" si="156"/>
        <v>0.67986111111111103</v>
      </c>
      <c r="AA32" s="74">
        <f t="shared" si="157"/>
        <v>0.69722222222222219</v>
      </c>
      <c r="AB32" s="74">
        <f t="shared" si="158"/>
        <v>0.72152777777777766</v>
      </c>
      <c r="AC32" s="74">
        <f t="shared" si="159"/>
        <v>0.73888888888888882</v>
      </c>
      <c r="AD32" s="74">
        <f t="shared" si="160"/>
        <v>0.7631944444444444</v>
      </c>
      <c r="AE32" s="74">
        <f t="shared" si="161"/>
        <v>0.78055555555555556</v>
      </c>
      <c r="AF32" s="74">
        <f t="shared" si="162"/>
        <v>0.80138888888888882</v>
      </c>
      <c r="AG32" s="74">
        <f t="shared" si="163"/>
        <v>0.82222222222222219</v>
      </c>
      <c r="AH32" s="74">
        <f t="shared" si="164"/>
        <v>0.84305555555555556</v>
      </c>
      <c r="AI32" s="103">
        <f t="shared" si="164"/>
        <v>0.86388888888888882</v>
      </c>
    </row>
    <row r="33" spans="1:38" s="18" customFormat="1" ht="15" customHeight="1" x14ac:dyDescent="0.3">
      <c r="A33" s="158">
        <v>10</v>
      </c>
      <c r="B33" s="17" t="s">
        <v>45</v>
      </c>
      <c r="C33" s="57"/>
      <c r="D33" s="74">
        <f t="shared" ref="D33:E34" si="165">D32+"0:02"</f>
        <v>0.22291666666666665</v>
      </c>
      <c r="E33" s="74">
        <f t="shared" si="165"/>
        <v>0.24027777777777773</v>
      </c>
      <c r="F33" s="74">
        <f t="shared" ref="F33:K33" si="166">F32+"0:02"</f>
        <v>0.26458333333333334</v>
      </c>
      <c r="G33" s="74">
        <f t="shared" si="166"/>
        <v>0.28194444444444439</v>
      </c>
      <c r="H33" s="74">
        <f t="shared" si="166"/>
        <v>0.30624999999999997</v>
      </c>
      <c r="I33" s="74">
        <f t="shared" si="166"/>
        <v>0.32361111111111107</v>
      </c>
      <c r="J33" s="74">
        <f t="shared" si="166"/>
        <v>0.34444444444444439</v>
      </c>
      <c r="K33" s="74">
        <f t="shared" si="166"/>
        <v>0.36527777777777776</v>
      </c>
      <c r="L33" s="74">
        <f t="shared" ref="L33:T33" si="167">L32+"0:02"</f>
        <v>0.38611111111111107</v>
      </c>
      <c r="M33" s="74">
        <f t="shared" si="167"/>
        <v>0.40694444444444439</v>
      </c>
      <c r="N33" s="74">
        <f t="shared" si="167"/>
        <v>0.42777777777777776</v>
      </c>
      <c r="O33" s="74">
        <f t="shared" si="167"/>
        <v>0.44861111111111107</v>
      </c>
      <c r="P33" s="74">
        <f t="shared" si="167"/>
        <v>0.46944444444444439</v>
      </c>
      <c r="Q33" s="74">
        <f t="shared" si="167"/>
        <v>0.49027777777777776</v>
      </c>
      <c r="R33" s="74">
        <f t="shared" si="167"/>
        <v>0.51111111111111107</v>
      </c>
      <c r="S33" s="74">
        <f t="shared" si="167"/>
        <v>0.53194444444444444</v>
      </c>
      <c r="T33" s="74">
        <f t="shared" si="167"/>
        <v>0.5527777777777777</v>
      </c>
      <c r="U33" s="74">
        <f t="shared" ref="U33:AH33" si="168">U32+"0:02"</f>
        <v>0.57361111111111107</v>
      </c>
      <c r="V33" s="74">
        <f t="shared" si="168"/>
        <v>0.59444444444444444</v>
      </c>
      <c r="W33" s="74">
        <f t="shared" si="168"/>
        <v>0.6152777777777777</v>
      </c>
      <c r="X33" s="74">
        <f t="shared" si="168"/>
        <v>0.63958333333333328</v>
      </c>
      <c r="Y33" s="74">
        <f t="shared" si="168"/>
        <v>0.65694444444444444</v>
      </c>
      <c r="Z33" s="74">
        <f t="shared" si="168"/>
        <v>0.68124999999999991</v>
      </c>
      <c r="AA33" s="74">
        <f t="shared" si="168"/>
        <v>0.69861111111111107</v>
      </c>
      <c r="AB33" s="74">
        <f t="shared" si="168"/>
        <v>0.72291666666666654</v>
      </c>
      <c r="AC33" s="74">
        <f t="shared" si="168"/>
        <v>0.7402777777777777</v>
      </c>
      <c r="AD33" s="74">
        <f t="shared" si="168"/>
        <v>0.76458333333333328</v>
      </c>
      <c r="AE33" s="74">
        <f t="shared" si="168"/>
        <v>0.78194444444444444</v>
      </c>
      <c r="AF33" s="74">
        <f t="shared" si="168"/>
        <v>0.8027777777777777</v>
      </c>
      <c r="AG33" s="74">
        <f t="shared" si="168"/>
        <v>0.82361111111111107</v>
      </c>
      <c r="AH33" s="74">
        <f t="shared" si="168"/>
        <v>0.84444444444444444</v>
      </c>
      <c r="AI33" s="103">
        <f t="shared" ref="AI33" si="169">AI32+"0:02"</f>
        <v>0.8652777777777777</v>
      </c>
    </row>
    <row r="34" spans="1:38" s="18" customFormat="1" ht="15" customHeight="1" x14ac:dyDescent="0.3">
      <c r="A34" s="158">
        <v>9</v>
      </c>
      <c r="B34" s="17" t="s">
        <v>44</v>
      </c>
      <c r="C34" s="57"/>
      <c r="D34" s="74">
        <f t="shared" si="165"/>
        <v>0.22430555555555554</v>
      </c>
      <c r="E34" s="74">
        <f t="shared" si="165"/>
        <v>0.24166666666666661</v>
      </c>
      <c r="F34" s="74">
        <f t="shared" ref="F34:K34" si="170">F33+"0:02"</f>
        <v>0.26597222222222222</v>
      </c>
      <c r="G34" s="74">
        <f t="shared" si="170"/>
        <v>0.28333333333333327</v>
      </c>
      <c r="H34" s="74">
        <f t="shared" si="170"/>
        <v>0.30763888888888885</v>
      </c>
      <c r="I34" s="74">
        <f t="shared" si="170"/>
        <v>0.32499999999999996</v>
      </c>
      <c r="J34" s="74">
        <f t="shared" si="170"/>
        <v>0.34583333333333327</v>
      </c>
      <c r="K34" s="74">
        <f t="shared" si="170"/>
        <v>0.36666666666666664</v>
      </c>
      <c r="L34" s="74">
        <f t="shared" ref="L34:T34" si="171">L33+"0:02"</f>
        <v>0.38749999999999996</v>
      </c>
      <c r="M34" s="74">
        <f t="shared" si="171"/>
        <v>0.40833333333333327</v>
      </c>
      <c r="N34" s="74">
        <f t="shared" si="171"/>
        <v>0.42916666666666664</v>
      </c>
      <c r="O34" s="74">
        <f t="shared" si="171"/>
        <v>0.44999999999999996</v>
      </c>
      <c r="P34" s="74">
        <f t="shared" si="171"/>
        <v>0.47083333333333327</v>
      </c>
      <c r="Q34" s="74">
        <f t="shared" si="171"/>
        <v>0.49166666666666664</v>
      </c>
      <c r="R34" s="74">
        <f t="shared" si="171"/>
        <v>0.51249999999999996</v>
      </c>
      <c r="S34" s="74">
        <f t="shared" si="171"/>
        <v>0.53333333333333333</v>
      </c>
      <c r="T34" s="74">
        <f t="shared" si="171"/>
        <v>0.55416666666666659</v>
      </c>
      <c r="U34" s="74">
        <f t="shared" ref="U34:AH34" si="172">U33+"0:02"</f>
        <v>0.57499999999999996</v>
      </c>
      <c r="V34" s="74">
        <f t="shared" si="172"/>
        <v>0.59583333333333333</v>
      </c>
      <c r="W34" s="74">
        <f t="shared" si="172"/>
        <v>0.61666666666666659</v>
      </c>
      <c r="X34" s="74">
        <f t="shared" si="172"/>
        <v>0.64097222222222217</v>
      </c>
      <c r="Y34" s="74">
        <f t="shared" si="172"/>
        <v>0.65833333333333333</v>
      </c>
      <c r="Z34" s="74">
        <f t="shared" si="172"/>
        <v>0.6826388888888888</v>
      </c>
      <c r="AA34" s="74">
        <f t="shared" si="172"/>
        <v>0.7</v>
      </c>
      <c r="AB34" s="74">
        <f t="shared" si="172"/>
        <v>0.72430555555555542</v>
      </c>
      <c r="AC34" s="74">
        <f t="shared" si="172"/>
        <v>0.74166666666666659</v>
      </c>
      <c r="AD34" s="74">
        <f t="shared" si="172"/>
        <v>0.76597222222222217</v>
      </c>
      <c r="AE34" s="74">
        <f t="shared" si="172"/>
        <v>0.78333333333333333</v>
      </c>
      <c r="AF34" s="74">
        <f t="shared" si="172"/>
        <v>0.80416666666666659</v>
      </c>
      <c r="AG34" s="74">
        <f t="shared" si="172"/>
        <v>0.82499999999999996</v>
      </c>
      <c r="AH34" s="74">
        <f t="shared" si="172"/>
        <v>0.84583333333333333</v>
      </c>
      <c r="AI34" s="103">
        <f t="shared" ref="AI34" si="173">AI33+"0:02"</f>
        <v>0.86666666666666659</v>
      </c>
    </row>
    <row r="35" spans="1:38" s="18" customFormat="1" ht="15" customHeight="1" x14ac:dyDescent="0.3">
      <c r="A35" s="158">
        <v>8</v>
      </c>
      <c r="B35" s="97" t="s">
        <v>97</v>
      </c>
      <c r="C35" s="57" t="s">
        <v>84</v>
      </c>
      <c r="D35" s="74">
        <f>D34+"0:03"</f>
        <v>0.22638888888888886</v>
      </c>
      <c r="E35" s="74">
        <f>E34+"0:03"</f>
        <v>0.24374999999999994</v>
      </c>
      <c r="F35" s="74">
        <f t="shared" ref="F35:K35" si="174">F34+"0:03"</f>
        <v>0.26805555555555555</v>
      </c>
      <c r="G35" s="74">
        <f t="shared" si="174"/>
        <v>0.2854166666666666</v>
      </c>
      <c r="H35" s="74">
        <f t="shared" si="174"/>
        <v>0.30972222222222218</v>
      </c>
      <c r="I35" s="74">
        <f t="shared" si="174"/>
        <v>0.32708333333333328</v>
      </c>
      <c r="J35" s="74">
        <f t="shared" si="174"/>
        <v>0.3479166666666666</v>
      </c>
      <c r="K35" s="74">
        <f t="shared" si="174"/>
        <v>0.36874999999999997</v>
      </c>
      <c r="L35" s="74">
        <f t="shared" ref="L35" si="175">L34+"0:03"</f>
        <v>0.38958333333333328</v>
      </c>
      <c r="M35" s="74">
        <f t="shared" ref="M35" si="176">M34+"0:03"</f>
        <v>0.4104166666666666</v>
      </c>
      <c r="N35" s="74">
        <f t="shared" ref="N35" si="177">N34+"0:03"</f>
        <v>0.43124999999999997</v>
      </c>
      <c r="O35" s="74">
        <f t="shared" ref="O35" si="178">O34+"0:03"</f>
        <v>0.45208333333333328</v>
      </c>
      <c r="P35" s="74">
        <f t="shared" ref="P35" si="179">P34+"0:03"</f>
        <v>0.4729166666666666</v>
      </c>
      <c r="Q35" s="74">
        <f t="shared" ref="Q35" si="180">Q34+"0:03"</f>
        <v>0.49374999999999997</v>
      </c>
      <c r="R35" s="74">
        <f t="shared" ref="R35" si="181">R34+"0:03"</f>
        <v>0.51458333333333328</v>
      </c>
      <c r="S35" s="74">
        <f t="shared" ref="S35" si="182">S34+"0:03"</f>
        <v>0.53541666666666665</v>
      </c>
      <c r="T35" s="74">
        <f t="shared" ref="T35" si="183">T34+"0:03"</f>
        <v>0.55624999999999991</v>
      </c>
      <c r="U35" s="74">
        <f t="shared" ref="U35" si="184">U34+"0:03"</f>
        <v>0.57708333333333328</v>
      </c>
      <c r="V35" s="74">
        <f t="shared" ref="V35" si="185">V34+"0:03"</f>
        <v>0.59791666666666665</v>
      </c>
      <c r="W35" s="74">
        <f t="shared" ref="W35" si="186">W34+"0:03"</f>
        <v>0.61874999999999991</v>
      </c>
      <c r="X35" s="74">
        <f t="shared" ref="X35" si="187">X34+"0:03"</f>
        <v>0.64305555555555549</v>
      </c>
      <c r="Y35" s="74">
        <f t="shared" ref="Y35" si="188">Y34+"0:03"</f>
        <v>0.66041666666666665</v>
      </c>
      <c r="Z35" s="74">
        <f t="shared" ref="Z35" si="189">Z34+"0:03"</f>
        <v>0.68472222222222212</v>
      </c>
      <c r="AA35" s="74">
        <f t="shared" ref="AA35" si="190">AA34+"0:03"</f>
        <v>0.70208333333333328</v>
      </c>
      <c r="AB35" s="74">
        <f t="shared" ref="AB35" si="191">AB34+"0:03"</f>
        <v>0.72638888888888875</v>
      </c>
      <c r="AC35" s="74">
        <f t="shared" ref="AC35" si="192">AC34+"0:03"</f>
        <v>0.74374999999999991</v>
      </c>
      <c r="AD35" s="74">
        <f t="shared" ref="AD35" si="193">AD34+"0:03"</f>
        <v>0.76805555555555549</v>
      </c>
      <c r="AE35" s="74">
        <f t="shared" ref="AE35" si="194">AE34+"0:03"</f>
        <v>0.78541666666666665</v>
      </c>
      <c r="AF35" s="74">
        <f t="shared" ref="AF35" si="195">AF34+"0:03"</f>
        <v>0.80624999999999991</v>
      </c>
      <c r="AG35" s="74">
        <f t="shared" ref="AG35" si="196">AG34+"0:03"</f>
        <v>0.82708333333333328</v>
      </c>
      <c r="AH35" s="74">
        <f t="shared" ref="AH35:AI35" si="197">AH34+"0:03"</f>
        <v>0.84791666666666665</v>
      </c>
      <c r="AI35" s="103">
        <f t="shared" si="197"/>
        <v>0.86874999999999991</v>
      </c>
    </row>
    <row r="36" spans="1:38" s="18" customFormat="1" ht="15" customHeight="1" x14ac:dyDescent="0.3">
      <c r="A36" s="158">
        <v>7</v>
      </c>
      <c r="B36" s="97" t="s">
        <v>97</v>
      </c>
      <c r="C36" s="57" t="s">
        <v>83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150"/>
    </row>
    <row r="37" spans="1:38" s="18" customFormat="1" ht="15" customHeight="1" x14ac:dyDescent="0.3">
      <c r="A37" s="158">
        <v>6</v>
      </c>
      <c r="B37" s="17" t="s">
        <v>40</v>
      </c>
      <c r="C37" s="57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150"/>
    </row>
    <row r="38" spans="1:38" s="18" customFormat="1" ht="15" customHeight="1" x14ac:dyDescent="0.3">
      <c r="A38" s="158">
        <v>5</v>
      </c>
      <c r="B38" s="17" t="s">
        <v>43</v>
      </c>
      <c r="C38" s="57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150"/>
    </row>
    <row r="39" spans="1:38" s="18" customFormat="1" ht="15" customHeight="1" x14ac:dyDescent="0.3">
      <c r="A39" s="158">
        <v>4</v>
      </c>
      <c r="B39" s="17" t="s">
        <v>39</v>
      </c>
      <c r="C39" s="57" t="s">
        <v>84</v>
      </c>
      <c r="D39" s="74"/>
      <c r="E39" s="74"/>
      <c r="F39" s="74"/>
      <c r="G39" s="74"/>
      <c r="H39" s="79"/>
      <c r="I39" s="79"/>
      <c r="J39" s="79"/>
      <c r="K39" s="79"/>
      <c r="L39" s="79"/>
      <c r="M39" s="79"/>
      <c r="N39" s="74"/>
      <c r="O39" s="79"/>
      <c r="P39" s="74"/>
      <c r="Q39" s="79"/>
      <c r="R39" s="79"/>
      <c r="S39" s="79"/>
      <c r="T39" s="74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150"/>
    </row>
    <row r="40" spans="1:38" s="18" customFormat="1" ht="15" customHeight="1" x14ac:dyDescent="0.3">
      <c r="A40" s="158">
        <v>3</v>
      </c>
      <c r="B40" s="62" t="s">
        <v>43</v>
      </c>
      <c r="C40" s="63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150"/>
    </row>
    <row r="41" spans="1:38" s="18" customFormat="1" ht="15" customHeight="1" x14ac:dyDescent="0.3">
      <c r="A41" s="158">
        <v>2</v>
      </c>
      <c r="B41" s="17" t="s">
        <v>54</v>
      </c>
      <c r="C41" s="57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150"/>
    </row>
    <row r="42" spans="1:38" s="18" customFormat="1" ht="15" customHeight="1" thickBot="1" x14ac:dyDescent="0.35">
      <c r="A42" s="158">
        <v>1</v>
      </c>
      <c r="B42" s="160" t="s">
        <v>53</v>
      </c>
      <c r="C42" s="161" t="s">
        <v>84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62"/>
    </row>
    <row r="43" spans="1:38" s="29" customFormat="1" ht="14.4" thickBot="1" x14ac:dyDescent="0.35">
      <c r="B43" s="13" t="s">
        <v>2</v>
      </c>
      <c r="C43" s="35"/>
      <c r="D43" s="91">
        <v>4.9000000000000004</v>
      </c>
      <c r="E43" s="91">
        <v>4.9000000000000004</v>
      </c>
      <c r="F43" s="91">
        <v>4.9000000000000004</v>
      </c>
      <c r="G43" s="91">
        <v>4.9000000000000004</v>
      </c>
      <c r="H43" s="91">
        <v>4.9000000000000004</v>
      </c>
      <c r="I43" s="91">
        <v>4.9000000000000004</v>
      </c>
      <c r="J43" s="91">
        <v>4.9000000000000004</v>
      </c>
      <c r="K43" s="91">
        <v>4.9000000000000004</v>
      </c>
      <c r="L43" s="91">
        <v>4.9000000000000004</v>
      </c>
      <c r="M43" s="91">
        <v>4.9000000000000004</v>
      </c>
      <c r="N43" s="91">
        <v>4.9000000000000004</v>
      </c>
      <c r="O43" s="91">
        <v>4.9000000000000004</v>
      </c>
      <c r="P43" s="91">
        <v>4.9000000000000004</v>
      </c>
      <c r="Q43" s="91">
        <v>4.9000000000000004</v>
      </c>
      <c r="R43" s="91">
        <v>4.9000000000000004</v>
      </c>
      <c r="S43" s="91">
        <v>4.9000000000000004</v>
      </c>
      <c r="T43" s="91">
        <v>4.9000000000000004</v>
      </c>
      <c r="U43" s="91">
        <v>4.9000000000000004</v>
      </c>
      <c r="V43" s="91">
        <v>4.9000000000000004</v>
      </c>
      <c r="W43" s="91">
        <v>4.9000000000000004</v>
      </c>
      <c r="X43" s="91">
        <v>4.9000000000000004</v>
      </c>
      <c r="Y43" s="91">
        <v>4.9000000000000004</v>
      </c>
      <c r="Z43" s="91">
        <v>4.9000000000000004</v>
      </c>
      <c r="AA43" s="91">
        <v>4.9000000000000004</v>
      </c>
      <c r="AB43" s="91">
        <v>4.9000000000000004</v>
      </c>
      <c r="AC43" s="91">
        <v>4.9000000000000004</v>
      </c>
      <c r="AD43" s="91">
        <v>4.9000000000000004</v>
      </c>
      <c r="AE43" s="91">
        <v>4.9000000000000004</v>
      </c>
      <c r="AF43" s="91">
        <v>4.9000000000000004</v>
      </c>
      <c r="AG43" s="91">
        <v>4.9000000000000004</v>
      </c>
      <c r="AH43" s="91">
        <v>4.9000000000000004</v>
      </c>
      <c r="AI43" s="91">
        <v>4.9000000000000004</v>
      </c>
      <c r="AJ43" s="37">
        <f>SUM(D43:AI43)</f>
        <v>156.8000000000001</v>
      </c>
      <c r="AL43" s="40"/>
    </row>
  </sheetData>
  <sheetProtection formatCells="0" formatColumns="0" formatRows="0" insertColumns="0" insertRows="0" insertHyperlinks="0" deleteColumns="0" deleteRows="0" sort="0" autoFilter="0" pivotTables="0"/>
  <pageMargins left="0.25" right="0.25" top="0.75" bottom="0.75" header="0.3" footer="0.3"/>
  <pageSetup paperSize="9" scale="59" fitToHeight="0" orientation="landscape" r:id="rId1"/>
  <headerFooter>
    <oddHeader>&amp;RPrinz návrh jízdních řádů 2026</oddHead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FF5C-8F15-4970-A2D2-CF0301AA16D8}">
  <dimension ref="A1:Y45"/>
  <sheetViews>
    <sheetView topLeftCell="A35" zoomScaleNormal="100" workbookViewId="0">
      <selection activeCell="U42" sqref="U42"/>
    </sheetView>
  </sheetViews>
  <sheetFormatPr defaultColWidth="8.6640625" defaultRowHeight="13.2" x14ac:dyDescent="0.3"/>
  <cols>
    <col min="1" max="1" width="4.6640625" style="1" customWidth="1"/>
    <col min="2" max="2" width="19.5546875" style="1" customWidth="1"/>
    <col min="3" max="3" width="5.44140625" style="24" customWidth="1"/>
    <col min="4" max="4" width="7.5546875" style="1" customWidth="1"/>
    <col min="5" max="5" width="6.6640625" style="1" customWidth="1"/>
    <col min="6" max="8" width="4.6640625" style="1" customWidth="1"/>
    <col min="9" max="9" width="5.44140625" style="1" customWidth="1"/>
    <col min="10" max="20" width="5.6640625" style="1" customWidth="1"/>
    <col min="21" max="21" width="6.33203125" style="1" customWidth="1"/>
    <col min="22" max="24" width="4.6640625" style="1" customWidth="1"/>
    <col min="25" max="25" width="6.6640625" style="1" customWidth="1"/>
    <col min="26" max="26" width="7.5546875" style="1" customWidth="1"/>
    <col min="27" max="30" width="6.6640625" style="1" customWidth="1"/>
    <col min="31" max="16384" width="8.6640625" style="1"/>
  </cols>
  <sheetData>
    <row r="1" spans="1:25" s="3" customFormat="1" ht="18" customHeight="1" x14ac:dyDescent="0.3">
      <c r="A1" s="4" t="s">
        <v>12</v>
      </c>
      <c r="B1" s="4"/>
      <c r="C1" s="15"/>
      <c r="D1" s="28" t="s">
        <v>92</v>
      </c>
    </row>
    <row r="2" spans="1:25" s="3" customFormat="1" ht="15" customHeight="1" thickBot="1" x14ac:dyDescent="0.35">
      <c r="A2" s="4"/>
      <c r="B2" s="66" t="s">
        <v>15</v>
      </c>
      <c r="C2" s="15"/>
    </row>
    <row r="3" spans="1:25" s="3" customFormat="1" ht="15" customHeight="1" x14ac:dyDescent="0.3">
      <c r="A3" s="98" t="s">
        <v>1</v>
      </c>
      <c r="B3" s="110"/>
      <c r="C3" s="141"/>
      <c r="D3" s="141">
        <v>1</v>
      </c>
      <c r="E3" s="141">
        <f>D3+2</f>
        <v>3</v>
      </c>
      <c r="F3" s="141">
        <f t="shared" ref="F3:S3" si="0">E3+2</f>
        <v>5</v>
      </c>
      <c r="G3" s="141">
        <f t="shared" si="0"/>
        <v>7</v>
      </c>
      <c r="H3" s="141">
        <f t="shared" si="0"/>
        <v>9</v>
      </c>
      <c r="I3" s="141">
        <f t="shared" si="0"/>
        <v>11</v>
      </c>
      <c r="J3" s="141">
        <f t="shared" si="0"/>
        <v>13</v>
      </c>
      <c r="K3" s="141">
        <f t="shared" si="0"/>
        <v>15</v>
      </c>
      <c r="L3" s="141">
        <f t="shared" si="0"/>
        <v>17</v>
      </c>
      <c r="M3" s="141">
        <f t="shared" si="0"/>
        <v>19</v>
      </c>
      <c r="N3" s="141">
        <f t="shared" si="0"/>
        <v>21</v>
      </c>
      <c r="O3" s="141">
        <f t="shared" si="0"/>
        <v>23</v>
      </c>
      <c r="P3" s="141">
        <f t="shared" si="0"/>
        <v>25</v>
      </c>
      <c r="Q3" s="141">
        <f t="shared" si="0"/>
        <v>27</v>
      </c>
      <c r="R3" s="141">
        <f t="shared" si="0"/>
        <v>29</v>
      </c>
      <c r="S3" s="142">
        <f t="shared" si="0"/>
        <v>31</v>
      </c>
    </row>
    <row r="4" spans="1:25" s="29" customFormat="1" ht="15" customHeight="1" x14ac:dyDescent="0.3">
      <c r="A4" s="124">
        <v>1</v>
      </c>
      <c r="B4" s="120" t="s">
        <v>53</v>
      </c>
      <c r="C4" s="78" t="s">
        <v>83</v>
      </c>
      <c r="D4" s="84">
        <v>0.20138888888888887</v>
      </c>
      <c r="E4" s="84">
        <v>0.243055555555556</v>
      </c>
      <c r="F4" s="84">
        <v>0.28472222222222199</v>
      </c>
      <c r="G4" s="84">
        <v>0.32291666666666669</v>
      </c>
      <c r="H4" s="84">
        <v>0.36458333333333298</v>
      </c>
      <c r="I4" s="84">
        <v>0.40625</v>
      </c>
      <c r="J4" s="84">
        <v>0.44791666666666702</v>
      </c>
      <c r="K4" s="84">
        <v>0.48958333333333298</v>
      </c>
      <c r="L4" s="84">
        <v>0.53125</v>
      </c>
      <c r="M4" s="84">
        <v>0.57291666666666496</v>
      </c>
      <c r="N4" s="84">
        <v>0.61805555555555602</v>
      </c>
      <c r="O4" s="84">
        <v>0.65972222222222199</v>
      </c>
      <c r="P4" s="84">
        <v>0.70138888888888895</v>
      </c>
      <c r="Q4" s="84">
        <v>0.74305555555555503</v>
      </c>
      <c r="R4" s="84">
        <v>0.78125</v>
      </c>
      <c r="S4" s="128">
        <v>0.82291666666666696</v>
      </c>
      <c r="T4" s="3"/>
      <c r="U4" s="3"/>
      <c r="V4" s="3"/>
      <c r="W4" s="3"/>
      <c r="X4" s="3"/>
      <c r="Y4" s="3"/>
    </row>
    <row r="5" spans="1:25" s="29" customFormat="1" ht="15" customHeight="1" x14ac:dyDescent="0.3">
      <c r="A5" s="124">
        <v>2</v>
      </c>
      <c r="B5" s="120" t="s">
        <v>54</v>
      </c>
      <c r="C5" s="78"/>
      <c r="D5" s="79" t="s">
        <v>14</v>
      </c>
      <c r="E5" s="79" t="s">
        <v>14</v>
      </c>
      <c r="F5" s="79" t="s">
        <v>14</v>
      </c>
      <c r="G5" s="79" t="s">
        <v>14</v>
      </c>
      <c r="H5" s="79" t="s">
        <v>14</v>
      </c>
      <c r="I5" s="79" t="s">
        <v>14</v>
      </c>
      <c r="J5" s="79" t="s">
        <v>14</v>
      </c>
      <c r="K5" s="79" t="s">
        <v>14</v>
      </c>
      <c r="L5" s="79" t="s">
        <v>14</v>
      </c>
      <c r="M5" s="79" t="s">
        <v>14</v>
      </c>
      <c r="N5" s="79" t="s">
        <v>14</v>
      </c>
      <c r="O5" s="79" t="s">
        <v>14</v>
      </c>
      <c r="P5" s="79" t="s">
        <v>14</v>
      </c>
      <c r="Q5" s="79" t="s">
        <v>14</v>
      </c>
      <c r="R5" s="79" t="s">
        <v>14</v>
      </c>
      <c r="S5" s="140" t="s">
        <v>14</v>
      </c>
      <c r="T5" s="3"/>
      <c r="U5" s="3"/>
      <c r="V5" s="3"/>
      <c r="W5" s="3"/>
      <c r="X5" s="3"/>
      <c r="Y5" s="3"/>
    </row>
    <row r="6" spans="1:25" s="29" customFormat="1" ht="15" customHeight="1" x14ac:dyDescent="0.3">
      <c r="A6" s="124">
        <v>3</v>
      </c>
      <c r="B6" s="120" t="s">
        <v>43</v>
      </c>
      <c r="C6" s="78"/>
      <c r="D6" s="74">
        <f t="shared" ref="D6" si="1">D4+"0:01"</f>
        <v>0.20208333333333331</v>
      </c>
      <c r="E6" s="74">
        <f t="shared" ref="E6:S6" si="2">E4+"0:01"</f>
        <v>0.24375000000000044</v>
      </c>
      <c r="F6" s="74">
        <f t="shared" si="2"/>
        <v>0.28541666666666643</v>
      </c>
      <c r="G6" s="74">
        <f t="shared" si="2"/>
        <v>0.32361111111111113</v>
      </c>
      <c r="H6" s="74">
        <f t="shared" si="2"/>
        <v>0.36527777777777742</v>
      </c>
      <c r="I6" s="74">
        <f t="shared" si="2"/>
        <v>0.40694444444444444</v>
      </c>
      <c r="J6" s="74">
        <f t="shared" si="2"/>
        <v>0.44861111111111146</v>
      </c>
      <c r="K6" s="74">
        <f t="shared" si="2"/>
        <v>0.49027777777777742</v>
      </c>
      <c r="L6" s="74">
        <f t="shared" si="2"/>
        <v>0.53194444444444444</v>
      </c>
      <c r="M6" s="74">
        <f t="shared" si="2"/>
        <v>0.57361111111110941</v>
      </c>
      <c r="N6" s="74">
        <f t="shared" si="2"/>
        <v>0.61875000000000047</v>
      </c>
      <c r="O6" s="74">
        <f t="shared" si="2"/>
        <v>0.66041666666666643</v>
      </c>
      <c r="P6" s="74">
        <f t="shared" si="2"/>
        <v>0.70208333333333339</v>
      </c>
      <c r="Q6" s="74">
        <f t="shared" si="2"/>
        <v>0.74374999999999947</v>
      </c>
      <c r="R6" s="74">
        <f t="shared" si="2"/>
        <v>0.78194444444444444</v>
      </c>
      <c r="S6" s="103">
        <f t="shared" si="2"/>
        <v>0.8236111111111114</v>
      </c>
      <c r="T6" s="3"/>
      <c r="U6" s="3"/>
      <c r="V6" s="3"/>
      <c r="W6" s="3"/>
      <c r="X6" s="3"/>
      <c r="Y6" s="3"/>
    </row>
    <row r="7" spans="1:25" s="3" customFormat="1" ht="15" customHeight="1" x14ac:dyDescent="0.3">
      <c r="A7" s="124">
        <v>4</v>
      </c>
      <c r="B7" s="97" t="s">
        <v>39</v>
      </c>
      <c r="C7" s="96"/>
      <c r="D7" s="74">
        <f t="shared" ref="D7" si="3">D6+"0:01"</f>
        <v>0.20277777777777775</v>
      </c>
      <c r="E7" s="74">
        <f t="shared" ref="E7:S7" si="4">E6+"0:01"</f>
        <v>0.24444444444444488</v>
      </c>
      <c r="F7" s="74">
        <f t="shared" si="4"/>
        <v>0.28611111111111087</v>
      </c>
      <c r="G7" s="74">
        <f t="shared" si="4"/>
        <v>0.32430555555555557</v>
      </c>
      <c r="H7" s="74">
        <f t="shared" si="4"/>
        <v>0.36597222222222187</v>
      </c>
      <c r="I7" s="74">
        <f t="shared" si="4"/>
        <v>0.40763888888888888</v>
      </c>
      <c r="J7" s="74">
        <f t="shared" si="4"/>
        <v>0.4493055555555559</v>
      </c>
      <c r="K7" s="74">
        <f t="shared" si="4"/>
        <v>0.49097222222222187</v>
      </c>
      <c r="L7" s="74">
        <f t="shared" si="4"/>
        <v>0.53263888888888888</v>
      </c>
      <c r="M7" s="74">
        <f t="shared" si="4"/>
        <v>0.57430555555555385</v>
      </c>
      <c r="N7" s="74">
        <f t="shared" si="4"/>
        <v>0.61944444444444491</v>
      </c>
      <c r="O7" s="74">
        <f t="shared" si="4"/>
        <v>0.66111111111111087</v>
      </c>
      <c r="P7" s="74">
        <f t="shared" si="4"/>
        <v>0.70277777777777783</v>
      </c>
      <c r="Q7" s="74">
        <f t="shared" si="4"/>
        <v>0.74444444444444391</v>
      </c>
      <c r="R7" s="74">
        <f t="shared" si="4"/>
        <v>0.78263888888888888</v>
      </c>
      <c r="S7" s="103">
        <f t="shared" si="4"/>
        <v>0.82430555555555585</v>
      </c>
    </row>
    <row r="8" spans="1:25" s="3" customFormat="1" ht="15" customHeight="1" x14ac:dyDescent="0.3">
      <c r="A8" s="124">
        <v>5</v>
      </c>
      <c r="B8" s="97" t="s">
        <v>40</v>
      </c>
      <c r="C8" s="96"/>
      <c r="D8" s="90" t="s">
        <v>14</v>
      </c>
      <c r="E8" s="90" t="s">
        <v>14</v>
      </c>
      <c r="F8" s="90" t="s">
        <v>14</v>
      </c>
      <c r="G8" s="90" t="s">
        <v>14</v>
      </c>
      <c r="H8" s="90" t="s">
        <v>14</v>
      </c>
      <c r="I8" s="90" t="s">
        <v>14</v>
      </c>
      <c r="J8" s="90" t="s">
        <v>14</v>
      </c>
      <c r="K8" s="90" t="s">
        <v>14</v>
      </c>
      <c r="L8" s="90" t="s">
        <v>14</v>
      </c>
      <c r="M8" s="90" t="s">
        <v>14</v>
      </c>
      <c r="N8" s="90" t="s">
        <v>14</v>
      </c>
      <c r="O8" s="90" t="s">
        <v>14</v>
      </c>
      <c r="P8" s="90" t="s">
        <v>14</v>
      </c>
      <c r="Q8" s="90" t="s">
        <v>14</v>
      </c>
      <c r="R8" s="90" t="s">
        <v>14</v>
      </c>
      <c r="S8" s="143" t="s">
        <v>14</v>
      </c>
    </row>
    <row r="9" spans="1:25" s="3" customFormat="1" ht="15" customHeight="1" x14ac:dyDescent="0.3">
      <c r="A9" s="124">
        <v>6</v>
      </c>
      <c r="B9" s="97" t="s">
        <v>97</v>
      </c>
      <c r="C9" s="96" t="s">
        <v>84</v>
      </c>
      <c r="D9" s="74">
        <f t="shared" ref="D9:S9" si="5">D7+"0:03"</f>
        <v>0.20486111111111108</v>
      </c>
      <c r="E9" s="74">
        <f t="shared" si="5"/>
        <v>0.24652777777777821</v>
      </c>
      <c r="F9" s="74">
        <f t="shared" si="5"/>
        <v>0.2881944444444442</v>
      </c>
      <c r="G9" s="74">
        <f t="shared" si="5"/>
        <v>0.3263888888888889</v>
      </c>
      <c r="H9" s="74">
        <f t="shared" si="5"/>
        <v>0.36805555555555519</v>
      </c>
      <c r="I9" s="74">
        <f t="shared" si="5"/>
        <v>0.40972222222222221</v>
      </c>
      <c r="J9" s="74">
        <f t="shared" si="5"/>
        <v>0.45138888888888923</v>
      </c>
      <c r="K9" s="74">
        <f t="shared" si="5"/>
        <v>0.49305555555555519</v>
      </c>
      <c r="L9" s="74">
        <f t="shared" si="5"/>
        <v>0.53472222222222221</v>
      </c>
      <c r="M9" s="74">
        <f t="shared" si="5"/>
        <v>0.57638888888888717</v>
      </c>
      <c r="N9" s="74">
        <f t="shared" si="5"/>
        <v>0.62152777777777823</v>
      </c>
      <c r="O9" s="74">
        <f t="shared" si="5"/>
        <v>0.6631944444444442</v>
      </c>
      <c r="P9" s="74">
        <f t="shared" si="5"/>
        <v>0.70486111111111116</v>
      </c>
      <c r="Q9" s="74">
        <f t="shared" si="5"/>
        <v>0.74652777777777724</v>
      </c>
      <c r="R9" s="74">
        <f t="shared" si="5"/>
        <v>0.78472222222222221</v>
      </c>
      <c r="S9" s="103">
        <f t="shared" si="5"/>
        <v>0.82638888888888917</v>
      </c>
    </row>
    <row r="10" spans="1:25" s="3" customFormat="1" ht="15" customHeight="1" x14ac:dyDescent="0.3">
      <c r="A10" s="124">
        <v>7</v>
      </c>
      <c r="B10" s="97" t="s">
        <v>97</v>
      </c>
      <c r="C10" s="96" t="s">
        <v>83</v>
      </c>
      <c r="D10" s="74">
        <f>D9</f>
        <v>0.20486111111111108</v>
      </c>
      <c r="E10" s="74">
        <f t="shared" ref="E10:S10" si="6">E9</f>
        <v>0.24652777777777821</v>
      </c>
      <c r="F10" s="74">
        <f t="shared" si="6"/>
        <v>0.2881944444444442</v>
      </c>
      <c r="G10" s="74">
        <f t="shared" si="6"/>
        <v>0.3263888888888889</v>
      </c>
      <c r="H10" s="74">
        <f t="shared" si="6"/>
        <v>0.36805555555555519</v>
      </c>
      <c r="I10" s="74">
        <f t="shared" si="6"/>
        <v>0.40972222222222221</v>
      </c>
      <c r="J10" s="74">
        <f t="shared" si="6"/>
        <v>0.45138888888888923</v>
      </c>
      <c r="K10" s="74">
        <f t="shared" si="6"/>
        <v>0.49305555555555519</v>
      </c>
      <c r="L10" s="74">
        <f t="shared" si="6"/>
        <v>0.53472222222222221</v>
      </c>
      <c r="M10" s="74">
        <f t="shared" si="6"/>
        <v>0.57638888888888717</v>
      </c>
      <c r="N10" s="74">
        <f t="shared" si="6"/>
        <v>0.62152777777777823</v>
      </c>
      <c r="O10" s="74">
        <f t="shared" si="6"/>
        <v>0.6631944444444442</v>
      </c>
      <c r="P10" s="74">
        <f t="shared" si="6"/>
        <v>0.70486111111111116</v>
      </c>
      <c r="Q10" s="74">
        <f t="shared" si="6"/>
        <v>0.74652777777777724</v>
      </c>
      <c r="R10" s="74">
        <f t="shared" si="6"/>
        <v>0.78472222222222221</v>
      </c>
      <c r="S10" s="103">
        <f t="shared" si="6"/>
        <v>0.82638888888888917</v>
      </c>
    </row>
    <row r="11" spans="1:25" s="3" customFormat="1" ht="15" customHeight="1" x14ac:dyDescent="0.3">
      <c r="A11" s="124">
        <v>8</v>
      </c>
      <c r="B11" s="97" t="s">
        <v>44</v>
      </c>
      <c r="C11" s="96"/>
      <c r="D11" s="74">
        <f>D10+"0:03"</f>
        <v>0.2069444444444444</v>
      </c>
      <c r="E11" s="74">
        <f t="shared" ref="E11:S11" si="7">E10+"0:03"</f>
        <v>0.24861111111111153</v>
      </c>
      <c r="F11" s="74">
        <f t="shared" si="7"/>
        <v>0.29027777777777752</v>
      </c>
      <c r="G11" s="74">
        <f t="shared" si="7"/>
        <v>0.32847222222222222</v>
      </c>
      <c r="H11" s="74">
        <f t="shared" si="7"/>
        <v>0.37013888888888852</v>
      </c>
      <c r="I11" s="74">
        <f t="shared" si="7"/>
        <v>0.41180555555555554</v>
      </c>
      <c r="J11" s="74">
        <f t="shared" si="7"/>
        <v>0.45347222222222255</v>
      </c>
      <c r="K11" s="74">
        <f t="shared" si="7"/>
        <v>0.49513888888888852</v>
      </c>
      <c r="L11" s="74">
        <f t="shared" si="7"/>
        <v>0.53680555555555554</v>
      </c>
      <c r="M11" s="74">
        <f t="shared" si="7"/>
        <v>0.5784722222222205</v>
      </c>
      <c r="N11" s="74">
        <f t="shared" si="7"/>
        <v>0.62361111111111156</v>
      </c>
      <c r="O11" s="74">
        <f t="shared" si="7"/>
        <v>0.66527777777777752</v>
      </c>
      <c r="P11" s="74">
        <f t="shared" si="7"/>
        <v>0.70694444444444449</v>
      </c>
      <c r="Q11" s="74">
        <f t="shared" si="7"/>
        <v>0.74861111111111056</v>
      </c>
      <c r="R11" s="74">
        <f t="shared" si="7"/>
        <v>0.78680555555555554</v>
      </c>
      <c r="S11" s="103">
        <f t="shared" si="7"/>
        <v>0.8284722222222225</v>
      </c>
    </row>
    <row r="12" spans="1:25" s="3" customFormat="1" ht="15" customHeight="1" x14ac:dyDescent="0.3">
      <c r="A12" s="124">
        <v>9</v>
      </c>
      <c r="B12" s="97" t="s">
        <v>23</v>
      </c>
      <c r="C12" s="96"/>
      <c r="D12" s="74">
        <f>D11+"0:02"</f>
        <v>0.20833333333333329</v>
      </c>
      <c r="E12" s="74">
        <f t="shared" ref="E12:S12" si="8">E11+"0:02"</f>
        <v>0.25000000000000044</v>
      </c>
      <c r="F12" s="74">
        <f t="shared" si="8"/>
        <v>0.29166666666666641</v>
      </c>
      <c r="G12" s="74">
        <f t="shared" si="8"/>
        <v>0.3298611111111111</v>
      </c>
      <c r="H12" s="74">
        <f t="shared" si="8"/>
        <v>0.3715277777777774</v>
      </c>
      <c r="I12" s="74">
        <f t="shared" si="8"/>
        <v>0.41319444444444442</v>
      </c>
      <c r="J12" s="74">
        <f t="shared" si="8"/>
        <v>0.45486111111111144</v>
      </c>
      <c r="K12" s="74">
        <f t="shared" si="8"/>
        <v>0.4965277777777774</v>
      </c>
      <c r="L12" s="74">
        <f t="shared" si="8"/>
        <v>0.53819444444444442</v>
      </c>
      <c r="M12" s="74">
        <f t="shared" si="8"/>
        <v>0.57986111111110938</v>
      </c>
      <c r="N12" s="74">
        <f t="shared" si="8"/>
        <v>0.62500000000000044</v>
      </c>
      <c r="O12" s="74">
        <f t="shared" si="8"/>
        <v>0.66666666666666641</v>
      </c>
      <c r="P12" s="74">
        <f t="shared" si="8"/>
        <v>0.70833333333333337</v>
      </c>
      <c r="Q12" s="74">
        <f t="shared" si="8"/>
        <v>0.74999999999999944</v>
      </c>
      <c r="R12" s="74">
        <f t="shared" si="8"/>
        <v>0.78819444444444442</v>
      </c>
      <c r="S12" s="103">
        <f t="shared" si="8"/>
        <v>0.82986111111111138</v>
      </c>
    </row>
    <row r="13" spans="1:25" s="3" customFormat="1" ht="15" customHeight="1" x14ac:dyDescent="0.3">
      <c r="A13" s="124">
        <v>10</v>
      </c>
      <c r="B13" s="97" t="s">
        <v>24</v>
      </c>
      <c r="C13" s="96"/>
      <c r="D13" s="74">
        <f>D12+"0:01"</f>
        <v>0.20902777777777773</v>
      </c>
      <c r="E13" s="74">
        <f t="shared" ref="E13:S13" si="9">E12+"0:01"</f>
        <v>0.25069444444444489</v>
      </c>
      <c r="F13" s="74">
        <f t="shared" si="9"/>
        <v>0.29236111111111085</v>
      </c>
      <c r="G13" s="74">
        <f t="shared" si="9"/>
        <v>0.33055555555555555</v>
      </c>
      <c r="H13" s="74">
        <f t="shared" si="9"/>
        <v>0.37222222222222184</v>
      </c>
      <c r="I13" s="74">
        <f t="shared" si="9"/>
        <v>0.41388888888888886</v>
      </c>
      <c r="J13" s="74">
        <f t="shared" si="9"/>
        <v>0.45555555555555588</v>
      </c>
      <c r="K13" s="74">
        <f t="shared" si="9"/>
        <v>0.49722222222222184</v>
      </c>
      <c r="L13" s="74">
        <f t="shared" si="9"/>
        <v>0.53888888888888886</v>
      </c>
      <c r="M13" s="74">
        <f t="shared" si="9"/>
        <v>0.58055555555555383</v>
      </c>
      <c r="N13" s="74">
        <f t="shared" si="9"/>
        <v>0.62569444444444489</v>
      </c>
      <c r="O13" s="74">
        <f t="shared" si="9"/>
        <v>0.66736111111111085</v>
      </c>
      <c r="P13" s="74">
        <f t="shared" si="9"/>
        <v>0.70902777777777781</v>
      </c>
      <c r="Q13" s="74">
        <f t="shared" si="9"/>
        <v>0.75069444444444389</v>
      </c>
      <c r="R13" s="74">
        <f t="shared" si="9"/>
        <v>0.78888888888888886</v>
      </c>
      <c r="S13" s="103">
        <f t="shared" si="9"/>
        <v>0.83055555555555582</v>
      </c>
    </row>
    <row r="14" spans="1:25" s="3" customFormat="1" ht="15" customHeight="1" x14ac:dyDescent="0.3">
      <c r="A14" s="124">
        <v>11</v>
      </c>
      <c r="B14" s="97" t="s">
        <v>45</v>
      </c>
      <c r="C14" s="96"/>
      <c r="D14" s="74">
        <f>D13+"0:03"</f>
        <v>0.21111111111111105</v>
      </c>
      <c r="E14" s="74">
        <f t="shared" ref="E14:S14" si="10">E13+"0:03"</f>
        <v>0.25277777777777821</v>
      </c>
      <c r="F14" s="74">
        <f t="shared" si="10"/>
        <v>0.29444444444444418</v>
      </c>
      <c r="G14" s="74">
        <f t="shared" si="10"/>
        <v>0.33263888888888887</v>
      </c>
      <c r="H14" s="74">
        <f t="shared" si="10"/>
        <v>0.37430555555555517</v>
      </c>
      <c r="I14" s="74">
        <f t="shared" si="10"/>
        <v>0.41597222222222219</v>
      </c>
      <c r="J14" s="74">
        <f t="shared" si="10"/>
        <v>0.45763888888888921</v>
      </c>
      <c r="K14" s="74">
        <f t="shared" si="10"/>
        <v>0.49930555555555517</v>
      </c>
      <c r="L14" s="74">
        <f t="shared" si="10"/>
        <v>0.54097222222222219</v>
      </c>
      <c r="M14" s="74">
        <f t="shared" si="10"/>
        <v>0.58263888888888715</v>
      </c>
      <c r="N14" s="74">
        <f t="shared" si="10"/>
        <v>0.62777777777777821</v>
      </c>
      <c r="O14" s="74">
        <f t="shared" si="10"/>
        <v>0.66944444444444418</v>
      </c>
      <c r="P14" s="74">
        <f t="shared" si="10"/>
        <v>0.71111111111111114</v>
      </c>
      <c r="Q14" s="74">
        <f t="shared" si="10"/>
        <v>0.75277777777777721</v>
      </c>
      <c r="R14" s="74">
        <f t="shared" si="10"/>
        <v>0.79097222222222219</v>
      </c>
      <c r="S14" s="103">
        <f t="shared" si="10"/>
        <v>0.83263888888888915</v>
      </c>
    </row>
    <row r="15" spans="1:25" s="3" customFormat="1" ht="15" customHeight="1" x14ac:dyDescent="0.3">
      <c r="A15" s="124">
        <v>12</v>
      </c>
      <c r="B15" s="97" t="s">
        <v>46</v>
      </c>
      <c r="C15" s="96"/>
      <c r="D15" s="74">
        <f>D14+"0:02"</f>
        <v>0.21249999999999994</v>
      </c>
      <c r="E15" s="74">
        <f t="shared" ref="E15:S15" si="11">E14+"0:02"</f>
        <v>0.2541666666666671</v>
      </c>
      <c r="F15" s="74">
        <f t="shared" si="11"/>
        <v>0.29583333333333306</v>
      </c>
      <c r="G15" s="74">
        <f t="shared" si="11"/>
        <v>0.33402777777777776</v>
      </c>
      <c r="H15" s="74">
        <f t="shared" si="11"/>
        <v>0.37569444444444405</v>
      </c>
      <c r="I15" s="74">
        <f t="shared" si="11"/>
        <v>0.41736111111111107</v>
      </c>
      <c r="J15" s="74">
        <f t="shared" si="11"/>
        <v>0.45902777777777809</v>
      </c>
      <c r="K15" s="74">
        <f t="shared" si="11"/>
        <v>0.50069444444444411</v>
      </c>
      <c r="L15" s="74">
        <f t="shared" si="11"/>
        <v>0.54236111111111107</v>
      </c>
      <c r="M15" s="74">
        <f t="shared" si="11"/>
        <v>0.58402777777777604</v>
      </c>
      <c r="N15" s="74">
        <f t="shared" si="11"/>
        <v>0.6291666666666671</v>
      </c>
      <c r="O15" s="74">
        <f t="shared" si="11"/>
        <v>0.67083333333333306</v>
      </c>
      <c r="P15" s="74">
        <f t="shared" si="11"/>
        <v>0.71250000000000002</v>
      </c>
      <c r="Q15" s="74">
        <f t="shared" si="11"/>
        <v>0.7541666666666661</v>
      </c>
      <c r="R15" s="74">
        <f t="shared" si="11"/>
        <v>0.79236111111111107</v>
      </c>
      <c r="S15" s="103">
        <f t="shared" si="11"/>
        <v>0.83402777777777803</v>
      </c>
    </row>
    <row r="16" spans="1:25" s="3" customFormat="1" ht="15" customHeight="1" x14ac:dyDescent="0.3">
      <c r="A16" s="124">
        <v>13</v>
      </c>
      <c r="B16" s="97" t="s">
        <v>47</v>
      </c>
      <c r="C16" s="96"/>
      <c r="D16" s="74">
        <f>D15+"0:01"</f>
        <v>0.21319444444444438</v>
      </c>
      <c r="E16" s="74">
        <f t="shared" ref="E16:S16" si="12">E15+"0:01"</f>
        <v>0.25486111111111154</v>
      </c>
      <c r="F16" s="74">
        <f t="shared" si="12"/>
        <v>0.2965277777777775</v>
      </c>
      <c r="G16" s="74">
        <f t="shared" si="12"/>
        <v>0.3347222222222222</v>
      </c>
      <c r="H16" s="74">
        <f t="shared" si="12"/>
        <v>0.3763888888888885</v>
      </c>
      <c r="I16" s="74">
        <f t="shared" si="12"/>
        <v>0.41805555555555551</v>
      </c>
      <c r="J16" s="74">
        <f t="shared" si="12"/>
        <v>0.45972222222222253</v>
      </c>
      <c r="K16" s="74">
        <f t="shared" si="12"/>
        <v>0.50138888888888855</v>
      </c>
      <c r="L16" s="74">
        <f t="shared" si="12"/>
        <v>0.54305555555555551</v>
      </c>
      <c r="M16" s="74">
        <f t="shared" si="12"/>
        <v>0.58472222222222048</v>
      </c>
      <c r="N16" s="74">
        <f t="shared" si="12"/>
        <v>0.62986111111111154</v>
      </c>
      <c r="O16" s="74">
        <f t="shared" si="12"/>
        <v>0.6715277777777775</v>
      </c>
      <c r="P16" s="74">
        <f t="shared" si="12"/>
        <v>0.71319444444444446</v>
      </c>
      <c r="Q16" s="74">
        <f t="shared" si="12"/>
        <v>0.75486111111111054</v>
      </c>
      <c r="R16" s="74">
        <f t="shared" si="12"/>
        <v>0.79305555555555551</v>
      </c>
      <c r="S16" s="103">
        <f t="shared" si="12"/>
        <v>0.83472222222222248</v>
      </c>
    </row>
    <row r="17" spans="1:20" s="3" customFormat="1" ht="15" customHeight="1" x14ac:dyDescent="0.3">
      <c r="A17" s="124">
        <v>14</v>
      </c>
      <c r="B17" s="97" t="s">
        <v>56</v>
      </c>
      <c r="C17" s="96"/>
      <c r="D17" s="74">
        <f>D16+"0:02"</f>
        <v>0.21458333333333326</v>
      </c>
      <c r="E17" s="74">
        <f t="shared" ref="E17:S17" si="13">E16+"0:02"</f>
        <v>0.25625000000000042</v>
      </c>
      <c r="F17" s="74">
        <f t="shared" si="13"/>
        <v>0.29791666666666639</v>
      </c>
      <c r="G17" s="74">
        <f t="shared" si="13"/>
        <v>0.33611111111111108</v>
      </c>
      <c r="H17" s="74">
        <f t="shared" si="13"/>
        <v>0.37777777777777738</v>
      </c>
      <c r="I17" s="74">
        <f t="shared" si="13"/>
        <v>0.4194444444444444</v>
      </c>
      <c r="J17" s="74">
        <f t="shared" si="13"/>
        <v>0.46111111111111142</v>
      </c>
      <c r="K17" s="74">
        <f t="shared" si="13"/>
        <v>0.50277777777777743</v>
      </c>
      <c r="L17" s="74">
        <f t="shared" si="13"/>
        <v>0.5444444444444444</v>
      </c>
      <c r="M17" s="74">
        <f t="shared" si="13"/>
        <v>0.58611111111110936</v>
      </c>
      <c r="N17" s="74">
        <f t="shared" si="13"/>
        <v>0.63125000000000042</v>
      </c>
      <c r="O17" s="74">
        <f t="shared" si="13"/>
        <v>0.67291666666666639</v>
      </c>
      <c r="P17" s="74">
        <f t="shared" si="13"/>
        <v>0.71458333333333335</v>
      </c>
      <c r="Q17" s="74">
        <f t="shared" si="13"/>
        <v>0.75624999999999942</v>
      </c>
      <c r="R17" s="74">
        <f t="shared" si="13"/>
        <v>0.7944444444444444</v>
      </c>
      <c r="S17" s="103">
        <f t="shared" si="13"/>
        <v>0.83611111111111136</v>
      </c>
    </row>
    <row r="18" spans="1:20" s="3" customFormat="1" ht="15" customHeight="1" x14ac:dyDescent="0.3">
      <c r="A18" s="124">
        <v>15</v>
      </c>
      <c r="B18" s="97" t="s">
        <v>57</v>
      </c>
      <c r="C18" s="96"/>
      <c r="D18" s="74">
        <f t="shared" ref="D18:D19" si="14">D17+"0:01"</f>
        <v>0.21527777777777771</v>
      </c>
      <c r="E18" s="74">
        <f t="shared" ref="E18:S18" si="15">E17+"0:01"</f>
        <v>0.25694444444444486</v>
      </c>
      <c r="F18" s="74">
        <f t="shared" si="15"/>
        <v>0.29861111111111083</v>
      </c>
      <c r="G18" s="74">
        <f t="shared" si="15"/>
        <v>0.33680555555555552</v>
      </c>
      <c r="H18" s="74">
        <f t="shared" si="15"/>
        <v>0.37847222222222182</v>
      </c>
      <c r="I18" s="74">
        <f t="shared" si="15"/>
        <v>0.42013888888888884</v>
      </c>
      <c r="J18" s="74">
        <f t="shared" si="15"/>
        <v>0.46180555555555586</v>
      </c>
      <c r="K18" s="74">
        <f t="shared" si="15"/>
        <v>0.50347222222222188</v>
      </c>
      <c r="L18" s="74">
        <f t="shared" si="15"/>
        <v>0.54513888888888884</v>
      </c>
      <c r="M18" s="74">
        <f t="shared" si="15"/>
        <v>0.5868055555555538</v>
      </c>
      <c r="N18" s="74">
        <f t="shared" si="15"/>
        <v>0.63194444444444486</v>
      </c>
      <c r="O18" s="74">
        <f t="shared" si="15"/>
        <v>0.67361111111111083</v>
      </c>
      <c r="P18" s="74">
        <f t="shared" si="15"/>
        <v>0.71527777777777779</v>
      </c>
      <c r="Q18" s="74">
        <f t="shared" si="15"/>
        <v>0.75694444444444386</v>
      </c>
      <c r="R18" s="74">
        <f t="shared" si="15"/>
        <v>0.79513888888888884</v>
      </c>
      <c r="S18" s="103">
        <f t="shared" si="15"/>
        <v>0.8368055555555558</v>
      </c>
    </row>
    <row r="19" spans="1:20" s="3" customFormat="1" ht="15" customHeight="1" x14ac:dyDescent="0.3">
      <c r="A19" s="124">
        <v>16</v>
      </c>
      <c r="B19" s="97" t="s">
        <v>58</v>
      </c>
      <c r="C19" s="96"/>
      <c r="D19" s="74">
        <f t="shared" si="14"/>
        <v>0.21597222222222215</v>
      </c>
      <c r="E19" s="74">
        <f t="shared" ref="E19:S19" si="16">E18+"0:01"</f>
        <v>0.25763888888888931</v>
      </c>
      <c r="F19" s="74">
        <f t="shared" si="16"/>
        <v>0.29930555555555527</v>
      </c>
      <c r="G19" s="74">
        <f t="shared" si="16"/>
        <v>0.33749999999999997</v>
      </c>
      <c r="H19" s="74">
        <f t="shared" si="16"/>
        <v>0.37916666666666626</v>
      </c>
      <c r="I19" s="74">
        <f t="shared" si="16"/>
        <v>0.42083333333333328</v>
      </c>
      <c r="J19" s="74">
        <f t="shared" si="16"/>
        <v>0.4625000000000003</v>
      </c>
      <c r="K19" s="74">
        <f t="shared" si="16"/>
        <v>0.50416666666666632</v>
      </c>
      <c r="L19" s="74">
        <f t="shared" si="16"/>
        <v>0.54583333333333328</v>
      </c>
      <c r="M19" s="74">
        <f t="shared" si="16"/>
        <v>0.58749999999999825</v>
      </c>
      <c r="N19" s="74">
        <f t="shared" si="16"/>
        <v>0.63263888888888931</v>
      </c>
      <c r="O19" s="74">
        <f t="shared" si="16"/>
        <v>0.67430555555555527</v>
      </c>
      <c r="P19" s="74">
        <f t="shared" si="16"/>
        <v>0.71597222222222223</v>
      </c>
      <c r="Q19" s="74">
        <f t="shared" si="16"/>
        <v>0.75763888888888831</v>
      </c>
      <c r="R19" s="74">
        <f t="shared" si="16"/>
        <v>0.79583333333333328</v>
      </c>
      <c r="S19" s="103">
        <f t="shared" si="16"/>
        <v>0.83750000000000024</v>
      </c>
    </row>
    <row r="20" spans="1:20" s="3" customFormat="1" ht="14.25" customHeight="1" thickBot="1" x14ac:dyDescent="0.35">
      <c r="A20" s="125">
        <v>17</v>
      </c>
      <c r="B20" s="105" t="s">
        <v>59</v>
      </c>
      <c r="C20" s="106" t="s">
        <v>84</v>
      </c>
      <c r="D20" s="107">
        <f>D19+"0:02"</f>
        <v>0.21736111111111103</v>
      </c>
      <c r="E20" s="107">
        <f t="shared" ref="E20:S20" si="17">E19+"0:02"</f>
        <v>0.25902777777777819</v>
      </c>
      <c r="F20" s="107">
        <f t="shared" si="17"/>
        <v>0.30069444444444415</v>
      </c>
      <c r="G20" s="107">
        <f t="shared" si="17"/>
        <v>0.33888888888888885</v>
      </c>
      <c r="H20" s="107">
        <f t="shared" si="17"/>
        <v>0.38055555555555515</v>
      </c>
      <c r="I20" s="107">
        <f t="shared" si="17"/>
        <v>0.42222222222222217</v>
      </c>
      <c r="J20" s="107">
        <f t="shared" si="17"/>
        <v>0.46388888888888918</v>
      </c>
      <c r="K20" s="107">
        <f t="shared" si="17"/>
        <v>0.5055555555555552</v>
      </c>
      <c r="L20" s="107">
        <f t="shared" si="17"/>
        <v>0.54722222222222217</v>
      </c>
      <c r="M20" s="107">
        <f t="shared" si="17"/>
        <v>0.58888888888888713</v>
      </c>
      <c r="N20" s="107">
        <f t="shared" si="17"/>
        <v>0.63402777777777819</v>
      </c>
      <c r="O20" s="107">
        <f t="shared" si="17"/>
        <v>0.67569444444444415</v>
      </c>
      <c r="P20" s="107">
        <f t="shared" si="17"/>
        <v>0.71736111111111112</v>
      </c>
      <c r="Q20" s="107">
        <f t="shared" si="17"/>
        <v>0.75902777777777719</v>
      </c>
      <c r="R20" s="107">
        <f t="shared" si="17"/>
        <v>0.79722222222222217</v>
      </c>
      <c r="S20" s="108">
        <f t="shared" si="17"/>
        <v>0.83888888888888913</v>
      </c>
    </row>
    <row r="21" spans="1:20" s="29" customFormat="1" ht="13.8" thickBot="1" x14ac:dyDescent="0.35">
      <c r="B21" s="13" t="s">
        <v>2</v>
      </c>
      <c r="C21" s="91"/>
      <c r="D21" s="88">
        <v>9</v>
      </c>
      <c r="E21" s="88">
        <v>9</v>
      </c>
      <c r="F21" s="88">
        <v>9</v>
      </c>
      <c r="G21" s="88">
        <v>9</v>
      </c>
      <c r="H21" s="88">
        <v>9</v>
      </c>
      <c r="I21" s="88">
        <v>9</v>
      </c>
      <c r="J21" s="88">
        <v>9</v>
      </c>
      <c r="K21" s="88">
        <v>9</v>
      </c>
      <c r="L21" s="88">
        <v>9</v>
      </c>
      <c r="M21" s="88">
        <v>9</v>
      </c>
      <c r="N21" s="88">
        <v>9</v>
      </c>
      <c r="O21" s="88">
        <v>9</v>
      </c>
      <c r="P21" s="88">
        <v>9</v>
      </c>
      <c r="Q21" s="88">
        <v>9</v>
      </c>
      <c r="R21" s="88">
        <v>9</v>
      </c>
      <c r="S21" s="88">
        <v>9</v>
      </c>
      <c r="T21" s="37">
        <f>SUM(C21:S21)</f>
        <v>144</v>
      </c>
    </row>
    <row r="22" spans="1:20" s="3" customFormat="1" x14ac:dyDescent="0.3">
      <c r="C22" s="14"/>
    </row>
    <row r="23" spans="1:20" s="3" customFormat="1" ht="122.4" customHeight="1" x14ac:dyDescent="0.3">
      <c r="C23" s="14"/>
    </row>
    <row r="24" spans="1:20" s="3" customFormat="1" x14ac:dyDescent="0.3">
      <c r="C24" s="14"/>
    </row>
    <row r="25" spans="1:20" s="18" customFormat="1" ht="18" customHeight="1" x14ac:dyDescent="0.3">
      <c r="A25" s="8" t="s">
        <v>12</v>
      </c>
      <c r="B25" s="8"/>
      <c r="C25" s="23"/>
      <c r="D25" s="23"/>
      <c r="E25" s="28" t="s">
        <v>93</v>
      </c>
    </row>
    <row r="26" spans="1:20" s="18" customFormat="1" ht="15" customHeight="1" thickBot="1" x14ac:dyDescent="0.35">
      <c r="A26" s="8"/>
      <c r="B26" s="66" t="s">
        <v>15</v>
      </c>
      <c r="C26" s="18" t="s">
        <v>5</v>
      </c>
      <c r="D26" s="18" t="s">
        <v>5</v>
      </c>
    </row>
    <row r="27" spans="1:20" s="18" customFormat="1" ht="15" customHeight="1" x14ac:dyDescent="0.3">
      <c r="A27" s="55" t="s">
        <v>1</v>
      </c>
      <c r="B27" s="155"/>
      <c r="C27" s="156"/>
      <c r="D27" s="67">
        <v>2</v>
      </c>
      <c r="E27" s="68">
        <f>D27+2</f>
        <v>4</v>
      </c>
      <c r="F27" s="68">
        <f t="shared" ref="F27:T27" si="18">E27+2</f>
        <v>6</v>
      </c>
      <c r="G27" s="68">
        <f t="shared" si="18"/>
        <v>8</v>
      </c>
      <c r="H27" s="68">
        <f t="shared" si="18"/>
        <v>10</v>
      </c>
      <c r="I27" s="68">
        <f t="shared" si="18"/>
        <v>12</v>
      </c>
      <c r="J27" s="68">
        <f t="shared" si="18"/>
        <v>14</v>
      </c>
      <c r="K27" s="68">
        <f t="shared" si="18"/>
        <v>16</v>
      </c>
      <c r="L27" s="68">
        <f t="shared" si="18"/>
        <v>18</v>
      </c>
      <c r="M27" s="68">
        <f t="shared" si="18"/>
        <v>20</v>
      </c>
      <c r="N27" s="68">
        <f t="shared" si="18"/>
        <v>22</v>
      </c>
      <c r="O27" s="68">
        <f t="shared" si="18"/>
        <v>24</v>
      </c>
      <c r="P27" s="68">
        <f t="shared" si="18"/>
        <v>26</v>
      </c>
      <c r="Q27" s="68">
        <f t="shared" si="18"/>
        <v>28</v>
      </c>
      <c r="R27" s="68">
        <f t="shared" si="18"/>
        <v>30</v>
      </c>
      <c r="S27" s="68">
        <f t="shared" si="18"/>
        <v>32</v>
      </c>
      <c r="T27" s="157">
        <f t="shared" si="18"/>
        <v>34</v>
      </c>
    </row>
    <row r="28" spans="1:20" s="18" customFormat="1" ht="15" customHeight="1" x14ac:dyDescent="0.3">
      <c r="A28" s="158">
        <v>17</v>
      </c>
      <c r="B28" s="17" t="s">
        <v>59</v>
      </c>
      <c r="C28" s="57" t="s">
        <v>83</v>
      </c>
      <c r="D28" s="81">
        <v>0.1986111111111111</v>
      </c>
      <c r="E28" s="81">
        <v>0.24027777777777801</v>
      </c>
      <c r="F28" s="81">
        <v>0.281944444444444</v>
      </c>
      <c r="G28" s="81">
        <v>0.32361111111111102</v>
      </c>
      <c r="H28" s="81">
        <v>0.36527777777777798</v>
      </c>
      <c r="I28" s="81">
        <v>0.406944444444444</v>
      </c>
      <c r="J28" s="81">
        <v>0.44861111111111102</v>
      </c>
      <c r="K28" s="81">
        <v>0.49027777777777798</v>
      </c>
      <c r="L28" s="81">
        <v>0.531944444444444</v>
      </c>
      <c r="M28" s="81">
        <v>0.57361111111111096</v>
      </c>
      <c r="N28" s="81">
        <v>0.61527777777777803</v>
      </c>
      <c r="O28" s="81">
        <v>0.656944444444444</v>
      </c>
      <c r="P28" s="81">
        <v>0.69861111111111096</v>
      </c>
      <c r="Q28" s="81">
        <v>0.74027777777777803</v>
      </c>
      <c r="R28" s="81">
        <v>0.781944444444444</v>
      </c>
      <c r="S28" s="81">
        <v>0.82361111111111096</v>
      </c>
      <c r="T28" s="138">
        <v>0.87083333333333324</v>
      </c>
    </row>
    <row r="29" spans="1:20" s="18" customFormat="1" ht="15" customHeight="1" x14ac:dyDescent="0.3">
      <c r="A29" s="158">
        <v>16</v>
      </c>
      <c r="B29" s="17" t="s">
        <v>64</v>
      </c>
      <c r="C29" s="57"/>
      <c r="D29" s="74">
        <f>D28+"0:02"</f>
        <v>0.19999999999999998</v>
      </c>
      <c r="E29" s="74">
        <f t="shared" ref="E29:T29" si="19">E28+"0:02"</f>
        <v>0.24166666666666689</v>
      </c>
      <c r="F29" s="74">
        <f t="shared" si="19"/>
        <v>0.28333333333333288</v>
      </c>
      <c r="G29" s="74">
        <f t="shared" si="19"/>
        <v>0.3249999999999999</v>
      </c>
      <c r="H29" s="74">
        <f t="shared" si="19"/>
        <v>0.36666666666666686</v>
      </c>
      <c r="I29" s="74">
        <f t="shared" si="19"/>
        <v>0.40833333333333288</v>
      </c>
      <c r="J29" s="74">
        <f t="shared" si="19"/>
        <v>0.4499999999999999</v>
      </c>
      <c r="K29" s="74">
        <f t="shared" si="19"/>
        <v>0.49166666666666686</v>
      </c>
      <c r="L29" s="74">
        <f t="shared" si="19"/>
        <v>0.53333333333333288</v>
      </c>
      <c r="M29" s="74">
        <f t="shared" si="19"/>
        <v>0.57499999999999984</v>
      </c>
      <c r="N29" s="74">
        <f t="shared" si="19"/>
        <v>0.61666666666666692</v>
      </c>
      <c r="O29" s="74">
        <f t="shared" si="19"/>
        <v>0.65833333333333288</v>
      </c>
      <c r="P29" s="74">
        <f t="shared" si="19"/>
        <v>0.69999999999999984</v>
      </c>
      <c r="Q29" s="74">
        <f t="shared" si="19"/>
        <v>0.74166666666666692</v>
      </c>
      <c r="R29" s="74">
        <f t="shared" si="19"/>
        <v>0.78333333333333288</v>
      </c>
      <c r="S29" s="74">
        <f t="shared" si="19"/>
        <v>0.82499999999999984</v>
      </c>
      <c r="T29" s="103">
        <f t="shared" si="19"/>
        <v>0.87222222222222212</v>
      </c>
    </row>
    <row r="30" spans="1:20" s="18" customFormat="1" ht="15" customHeight="1" x14ac:dyDescent="0.3">
      <c r="A30" s="158">
        <v>15</v>
      </c>
      <c r="B30" s="17" t="s">
        <v>65</v>
      </c>
      <c r="C30" s="57"/>
      <c r="D30" s="74">
        <f>D29+"0:01"</f>
        <v>0.20069444444444443</v>
      </c>
      <c r="E30" s="74">
        <f t="shared" ref="E30:T30" si="20">E29+"0:01"</f>
        <v>0.24236111111111133</v>
      </c>
      <c r="F30" s="74">
        <f t="shared" si="20"/>
        <v>0.28402777777777732</v>
      </c>
      <c r="G30" s="74">
        <f t="shared" si="20"/>
        <v>0.32569444444444434</v>
      </c>
      <c r="H30" s="74">
        <f t="shared" si="20"/>
        <v>0.3673611111111113</v>
      </c>
      <c r="I30" s="74">
        <f t="shared" si="20"/>
        <v>0.40902777777777732</v>
      </c>
      <c r="J30" s="74">
        <f t="shared" si="20"/>
        <v>0.45069444444444434</v>
      </c>
      <c r="K30" s="74">
        <f t="shared" si="20"/>
        <v>0.4923611111111113</v>
      </c>
      <c r="L30" s="74">
        <f t="shared" si="20"/>
        <v>0.53402777777777732</v>
      </c>
      <c r="M30" s="74">
        <f t="shared" si="20"/>
        <v>0.57569444444444429</v>
      </c>
      <c r="N30" s="74">
        <f t="shared" si="20"/>
        <v>0.61736111111111136</v>
      </c>
      <c r="O30" s="74">
        <f t="shared" si="20"/>
        <v>0.65902777777777732</v>
      </c>
      <c r="P30" s="74">
        <f t="shared" si="20"/>
        <v>0.70069444444444429</v>
      </c>
      <c r="Q30" s="74">
        <f t="shared" si="20"/>
        <v>0.74236111111111136</v>
      </c>
      <c r="R30" s="74">
        <f t="shared" si="20"/>
        <v>0.78402777777777732</v>
      </c>
      <c r="S30" s="74">
        <f t="shared" si="20"/>
        <v>0.82569444444444429</v>
      </c>
      <c r="T30" s="103">
        <f t="shared" si="20"/>
        <v>0.87291666666666656</v>
      </c>
    </row>
    <row r="31" spans="1:20" s="18" customFormat="1" ht="15" customHeight="1" x14ac:dyDescent="0.3">
      <c r="A31" s="158">
        <v>14</v>
      </c>
      <c r="B31" s="17" t="s">
        <v>66</v>
      </c>
      <c r="C31" s="57"/>
      <c r="D31" s="74">
        <f>D30+"0:02"</f>
        <v>0.20208333333333331</v>
      </c>
      <c r="E31" s="74">
        <f t="shared" ref="E31:T31" si="21">E30+"0:02"</f>
        <v>0.24375000000000022</v>
      </c>
      <c r="F31" s="74">
        <f t="shared" si="21"/>
        <v>0.28541666666666621</v>
      </c>
      <c r="G31" s="74">
        <f t="shared" si="21"/>
        <v>0.32708333333333323</v>
      </c>
      <c r="H31" s="74">
        <f t="shared" si="21"/>
        <v>0.36875000000000019</v>
      </c>
      <c r="I31" s="74">
        <f t="shared" si="21"/>
        <v>0.41041666666666621</v>
      </c>
      <c r="J31" s="74">
        <f t="shared" si="21"/>
        <v>0.45208333333333323</v>
      </c>
      <c r="K31" s="74">
        <f t="shared" si="21"/>
        <v>0.49375000000000019</v>
      </c>
      <c r="L31" s="74">
        <f t="shared" si="21"/>
        <v>0.53541666666666621</v>
      </c>
      <c r="M31" s="74">
        <f t="shared" si="21"/>
        <v>0.57708333333333317</v>
      </c>
      <c r="N31" s="74">
        <f t="shared" si="21"/>
        <v>0.61875000000000024</v>
      </c>
      <c r="O31" s="74">
        <f t="shared" si="21"/>
        <v>0.66041666666666621</v>
      </c>
      <c r="P31" s="74">
        <f t="shared" si="21"/>
        <v>0.70208333333333317</v>
      </c>
      <c r="Q31" s="74">
        <f t="shared" si="21"/>
        <v>0.74375000000000024</v>
      </c>
      <c r="R31" s="74">
        <f t="shared" si="21"/>
        <v>0.78541666666666621</v>
      </c>
      <c r="S31" s="74">
        <f t="shared" si="21"/>
        <v>0.82708333333333317</v>
      </c>
      <c r="T31" s="103">
        <f t="shared" si="21"/>
        <v>0.87430555555555545</v>
      </c>
    </row>
    <row r="32" spans="1:20" s="18" customFormat="1" ht="15" customHeight="1" x14ac:dyDescent="0.3">
      <c r="A32" s="158">
        <v>13</v>
      </c>
      <c r="B32" s="17" t="s">
        <v>47</v>
      </c>
      <c r="C32" s="57"/>
      <c r="D32" s="74">
        <f>D31+"0:01"</f>
        <v>0.20277777777777775</v>
      </c>
      <c r="E32" s="74">
        <f t="shared" ref="E32:T33" si="22">E31+"0:01"</f>
        <v>0.24444444444444466</v>
      </c>
      <c r="F32" s="74">
        <f t="shared" si="22"/>
        <v>0.28611111111111065</v>
      </c>
      <c r="G32" s="74">
        <f t="shared" si="22"/>
        <v>0.32777777777777767</v>
      </c>
      <c r="H32" s="74">
        <f t="shared" si="22"/>
        <v>0.36944444444444463</v>
      </c>
      <c r="I32" s="74">
        <f t="shared" si="22"/>
        <v>0.41111111111111065</v>
      </c>
      <c r="J32" s="74">
        <f t="shared" si="22"/>
        <v>0.45277777777777767</v>
      </c>
      <c r="K32" s="74">
        <f t="shared" si="22"/>
        <v>0.49444444444444463</v>
      </c>
      <c r="L32" s="74">
        <f t="shared" si="22"/>
        <v>0.53611111111111065</v>
      </c>
      <c r="M32" s="74">
        <f t="shared" si="22"/>
        <v>0.57777777777777761</v>
      </c>
      <c r="N32" s="74">
        <f t="shared" si="22"/>
        <v>0.61944444444444469</v>
      </c>
      <c r="O32" s="74">
        <f t="shared" si="22"/>
        <v>0.66111111111111065</v>
      </c>
      <c r="P32" s="74">
        <f t="shared" si="22"/>
        <v>0.70277777777777761</v>
      </c>
      <c r="Q32" s="74">
        <f t="shared" si="22"/>
        <v>0.74444444444444469</v>
      </c>
      <c r="R32" s="74">
        <f t="shared" si="22"/>
        <v>0.78611111111111065</v>
      </c>
      <c r="S32" s="74">
        <f t="shared" si="22"/>
        <v>0.82777777777777761</v>
      </c>
      <c r="T32" s="103">
        <f t="shared" si="22"/>
        <v>0.87499999999999989</v>
      </c>
    </row>
    <row r="33" spans="1:21" s="18" customFormat="1" ht="15" customHeight="1" x14ac:dyDescent="0.3">
      <c r="A33" s="158">
        <v>12</v>
      </c>
      <c r="B33" s="17" t="s">
        <v>46</v>
      </c>
      <c r="C33" s="57"/>
      <c r="D33" s="74">
        <f>D32+"0:01"</f>
        <v>0.20347222222222219</v>
      </c>
      <c r="E33" s="74">
        <f t="shared" si="22"/>
        <v>0.2451388888888891</v>
      </c>
      <c r="F33" s="74">
        <f t="shared" si="22"/>
        <v>0.28680555555555509</v>
      </c>
      <c r="G33" s="74">
        <f t="shared" si="22"/>
        <v>0.32847222222222211</v>
      </c>
      <c r="H33" s="74">
        <f t="shared" si="22"/>
        <v>0.37013888888888907</v>
      </c>
      <c r="I33" s="74">
        <f t="shared" si="22"/>
        <v>0.41180555555555509</v>
      </c>
      <c r="J33" s="74">
        <f t="shared" si="22"/>
        <v>0.45347222222222211</v>
      </c>
      <c r="K33" s="74">
        <f t="shared" si="22"/>
        <v>0.49513888888888907</v>
      </c>
      <c r="L33" s="74">
        <f t="shared" si="22"/>
        <v>0.53680555555555509</v>
      </c>
      <c r="M33" s="74">
        <f t="shared" si="22"/>
        <v>0.57847222222222205</v>
      </c>
      <c r="N33" s="74">
        <f t="shared" si="22"/>
        <v>0.62013888888888913</v>
      </c>
      <c r="O33" s="74">
        <f t="shared" si="22"/>
        <v>0.66180555555555509</v>
      </c>
      <c r="P33" s="74">
        <f t="shared" si="22"/>
        <v>0.70347222222222205</v>
      </c>
      <c r="Q33" s="74">
        <f t="shared" si="22"/>
        <v>0.74513888888888913</v>
      </c>
      <c r="R33" s="74">
        <f t="shared" si="22"/>
        <v>0.78680555555555509</v>
      </c>
      <c r="S33" s="74">
        <f t="shared" si="22"/>
        <v>0.82847222222222205</v>
      </c>
      <c r="T33" s="103">
        <f t="shared" si="22"/>
        <v>0.87569444444444433</v>
      </c>
    </row>
    <row r="34" spans="1:21" s="18" customFormat="1" ht="15" customHeight="1" x14ac:dyDescent="0.3">
      <c r="A34" s="158">
        <v>11</v>
      </c>
      <c r="B34" s="17" t="s">
        <v>45</v>
      </c>
      <c r="C34" s="57"/>
      <c r="D34" s="74">
        <f t="shared" ref="D34" si="23">D33+"0:02"</f>
        <v>0.20486111111111108</v>
      </c>
      <c r="E34" s="74">
        <f t="shared" ref="E34:T34" si="24">E33+"0:02"</f>
        <v>0.24652777777777798</v>
      </c>
      <c r="F34" s="74">
        <f t="shared" si="24"/>
        <v>0.28819444444444398</v>
      </c>
      <c r="G34" s="74">
        <f t="shared" si="24"/>
        <v>0.32986111111111099</v>
      </c>
      <c r="H34" s="74">
        <f t="shared" si="24"/>
        <v>0.37152777777777796</v>
      </c>
      <c r="I34" s="74">
        <f t="shared" si="24"/>
        <v>0.41319444444444398</v>
      </c>
      <c r="J34" s="74">
        <f t="shared" si="24"/>
        <v>0.45486111111111099</v>
      </c>
      <c r="K34" s="74">
        <f t="shared" si="24"/>
        <v>0.49652777777777796</v>
      </c>
      <c r="L34" s="74">
        <f t="shared" si="24"/>
        <v>0.53819444444444398</v>
      </c>
      <c r="M34" s="74">
        <f t="shared" si="24"/>
        <v>0.57986111111111094</v>
      </c>
      <c r="N34" s="74">
        <f t="shared" si="24"/>
        <v>0.62152777777777801</v>
      </c>
      <c r="O34" s="74">
        <f t="shared" si="24"/>
        <v>0.66319444444444398</v>
      </c>
      <c r="P34" s="74">
        <f t="shared" si="24"/>
        <v>0.70486111111111094</v>
      </c>
      <c r="Q34" s="74">
        <f t="shared" si="24"/>
        <v>0.74652777777777801</v>
      </c>
      <c r="R34" s="74">
        <f t="shared" si="24"/>
        <v>0.78819444444444398</v>
      </c>
      <c r="S34" s="74">
        <f t="shared" si="24"/>
        <v>0.82986111111111094</v>
      </c>
      <c r="T34" s="103">
        <f t="shared" si="24"/>
        <v>0.87708333333333321</v>
      </c>
    </row>
    <row r="35" spans="1:21" s="18" customFormat="1" ht="15" customHeight="1" x14ac:dyDescent="0.3">
      <c r="A35" s="158">
        <v>10</v>
      </c>
      <c r="B35" s="17" t="s">
        <v>23</v>
      </c>
      <c r="C35" s="57"/>
      <c r="D35" s="74">
        <f t="shared" ref="D35" si="25">D34+"0:02"</f>
        <v>0.20624999999999996</v>
      </c>
      <c r="E35" s="74">
        <f t="shared" ref="E35:T35" si="26">E34+"0:02"</f>
        <v>0.24791666666666687</v>
      </c>
      <c r="F35" s="74">
        <f t="shared" si="26"/>
        <v>0.28958333333333286</v>
      </c>
      <c r="G35" s="74">
        <f t="shared" si="26"/>
        <v>0.33124999999999988</v>
      </c>
      <c r="H35" s="74">
        <f t="shared" si="26"/>
        <v>0.37291666666666684</v>
      </c>
      <c r="I35" s="74">
        <f t="shared" si="26"/>
        <v>0.41458333333333286</v>
      </c>
      <c r="J35" s="74">
        <f t="shared" si="26"/>
        <v>0.45624999999999988</v>
      </c>
      <c r="K35" s="74">
        <f t="shared" si="26"/>
        <v>0.49791666666666684</v>
      </c>
      <c r="L35" s="74">
        <f t="shared" si="26"/>
        <v>0.53958333333333286</v>
      </c>
      <c r="M35" s="74">
        <f t="shared" si="26"/>
        <v>0.58124999999999982</v>
      </c>
      <c r="N35" s="74">
        <f t="shared" si="26"/>
        <v>0.6229166666666669</v>
      </c>
      <c r="O35" s="74">
        <f t="shared" si="26"/>
        <v>0.66458333333333286</v>
      </c>
      <c r="P35" s="74">
        <f t="shared" si="26"/>
        <v>0.70624999999999982</v>
      </c>
      <c r="Q35" s="74">
        <f t="shared" si="26"/>
        <v>0.7479166666666669</v>
      </c>
      <c r="R35" s="74">
        <f t="shared" si="26"/>
        <v>0.78958333333333286</v>
      </c>
      <c r="S35" s="74">
        <f t="shared" si="26"/>
        <v>0.83124999999999982</v>
      </c>
      <c r="T35" s="103">
        <f t="shared" si="26"/>
        <v>0.8784722222222221</v>
      </c>
    </row>
    <row r="36" spans="1:21" s="18" customFormat="1" ht="15" customHeight="1" x14ac:dyDescent="0.3">
      <c r="A36" s="158">
        <v>9</v>
      </c>
      <c r="B36" s="17" t="s">
        <v>24</v>
      </c>
      <c r="C36" s="57"/>
      <c r="D36" s="74">
        <f>D35+"0:01"</f>
        <v>0.2069444444444444</v>
      </c>
      <c r="E36" s="74">
        <f t="shared" ref="E36:T36" si="27">E35+"0:01"</f>
        <v>0.24861111111111131</v>
      </c>
      <c r="F36" s="74">
        <f t="shared" si="27"/>
        <v>0.2902777777777773</v>
      </c>
      <c r="G36" s="74">
        <f t="shared" si="27"/>
        <v>0.33194444444444432</v>
      </c>
      <c r="H36" s="74">
        <f t="shared" si="27"/>
        <v>0.37361111111111128</v>
      </c>
      <c r="I36" s="74">
        <f t="shared" si="27"/>
        <v>0.4152777777777773</v>
      </c>
      <c r="J36" s="74">
        <f t="shared" si="27"/>
        <v>0.45694444444444432</v>
      </c>
      <c r="K36" s="74">
        <f t="shared" si="27"/>
        <v>0.49861111111111128</v>
      </c>
      <c r="L36" s="74">
        <f t="shared" si="27"/>
        <v>0.5402777777777773</v>
      </c>
      <c r="M36" s="74">
        <f t="shared" si="27"/>
        <v>0.58194444444444426</v>
      </c>
      <c r="N36" s="74">
        <f t="shared" si="27"/>
        <v>0.62361111111111134</v>
      </c>
      <c r="O36" s="74">
        <f t="shared" si="27"/>
        <v>0.6652777777777773</v>
      </c>
      <c r="P36" s="74">
        <f t="shared" si="27"/>
        <v>0.70694444444444426</v>
      </c>
      <c r="Q36" s="74">
        <f t="shared" si="27"/>
        <v>0.74861111111111134</v>
      </c>
      <c r="R36" s="74">
        <f t="shared" si="27"/>
        <v>0.7902777777777773</v>
      </c>
      <c r="S36" s="74">
        <f t="shared" si="27"/>
        <v>0.83194444444444426</v>
      </c>
      <c r="T36" s="103">
        <f t="shared" si="27"/>
        <v>0.87916666666666654</v>
      </c>
    </row>
    <row r="37" spans="1:21" s="18" customFormat="1" ht="15" customHeight="1" x14ac:dyDescent="0.3">
      <c r="A37" s="158">
        <v>8</v>
      </c>
      <c r="B37" s="17" t="s">
        <v>44</v>
      </c>
      <c r="C37" s="57"/>
      <c r="D37" s="74">
        <f>D36+"0:03"</f>
        <v>0.20902777777777773</v>
      </c>
      <c r="E37" s="74">
        <f t="shared" ref="E37:T38" si="28">E36+"0:03"</f>
        <v>0.25069444444444466</v>
      </c>
      <c r="F37" s="74">
        <f t="shared" si="28"/>
        <v>0.29236111111111063</v>
      </c>
      <c r="G37" s="74">
        <f t="shared" si="28"/>
        <v>0.33402777777777765</v>
      </c>
      <c r="H37" s="74">
        <f t="shared" si="28"/>
        <v>0.37569444444444461</v>
      </c>
      <c r="I37" s="74">
        <f t="shared" si="28"/>
        <v>0.41736111111111063</v>
      </c>
      <c r="J37" s="74">
        <f t="shared" si="28"/>
        <v>0.45902777777777765</v>
      </c>
      <c r="K37" s="74">
        <f t="shared" si="28"/>
        <v>0.50069444444444466</v>
      </c>
      <c r="L37" s="74">
        <f t="shared" si="28"/>
        <v>0.54236111111111063</v>
      </c>
      <c r="M37" s="74">
        <f t="shared" si="28"/>
        <v>0.58402777777777759</v>
      </c>
      <c r="N37" s="74">
        <f t="shared" si="28"/>
        <v>0.62569444444444466</v>
      </c>
      <c r="O37" s="74">
        <f t="shared" si="28"/>
        <v>0.66736111111111063</v>
      </c>
      <c r="P37" s="74">
        <f t="shared" si="28"/>
        <v>0.70902777777777759</v>
      </c>
      <c r="Q37" s="74">
        <f t="shared" si="28"/>
        <v>0.75069444444444466</v>
      </c>
      <c r="R37" s="74">
        <f t="shared" si="28"/>
        <v>0.79236111111111063</v>
      </c>
      <c r="S37" s="74">
        <f t="shared" si="28"/>
        <v>0.83402777777777759</v>
      </c>
      <c r="T37" s="103">
        <f t="shared" si="28"/>
        <v>0.88124999999999987</v>
      </c>
    </row>
    <row r="38" spans="1:21" s="18" customFormat="1" ht="15" customHeight="1" x14ac:dyDescent="0.3">
      <c r="A38" s="158">
        <v>7</v>
      </c>
      <c r="B38" s="97" t="s">
        <v>97</v>
      </c>
      <c r="C38" s="57" t="s">
        <v>84</v>
      </c>
      <c r="D38" s="74">
        <f>D37+"0:03"</f>
        <v>0.21111111111111105</v>
      </c>
      <c r="E38" s="74">
        <f t="shared" si="28"/>
        <v>0.25277777777777799</v>
      </c>
      <c r="F38" s="74">
        <f t="shared" si="28"/>
        <v>0.29444444444444395</v>
      </c>
      <c r="G38" s="74">
        <f t="shared" si="28"/>
        <v>0.33611111111111097</v>
      </c>
      <c r="H38" s="74">
        <f t="shared" si="28"/>
        <v>0.37777777777777793</v>
      </c>
      <c r="I38" s="74">
        <f t="shared" si="28"/>
        <v>0.41944444444444395</v>
      </c>
      <c r="J38" s="74">
        <f t="shared" si="28"/>
        <v>0.46111111111111097</v>
      </c>
      <c r="K38" s="74">
        <f t="shared" si="28"/>
        <v>0.50277777777777799</v>
      </c>
      <c r="L38" s="74">
        <f t="shared" si="28"/>
        <v>0.54444444444444395</v>
      </c>
      <c r="M38" s="74">
        <f t="shared" si="28"/>
        <v>0.58611111111111092</v>
      </c>
      <c r="N38" s="74">
        <f t="shared" si="28"/>
        <v>0.62777777777777799</v>
      </c>
      <c r="O38" s="74">
        <f t="shared" si="28"/>
        <v>0.66944444444444395</v>
      </c>
      <c r="P38" s="74">
        <f t="shared" si="28"/>
        <v>0.71111111111111092</v>
      </c>
      <c r="Q38" s="74">
        <f t="shared" si="28"/>
        <v>0.75277777777777799</v>
      </c>
      <c r="R38" s="74">
        <f t="shared" si="28"/>
        <v>0.79444444444444395</v>
      </c>
      <c r="S38" s="74">
        <f t="shared" si="28"/>
        <v>0.83611111111111092</v>
      </c>
      <c r="T38" s="103">
        <f t="shared" si="28"/>
        <v>0.88333333333333319</v>
      </c>
    </row>
    <row r="39" spans="1:21" s="18" customFormat="1" ht="15" customHeight="1" x14ac:dyDescent="0.3">
      <c r="A39" s="158">
        <v>6</v>
      </c>
      <c r="B39" s="97" t="s">
        <v>97</v>
      </c>
      <c r="C39" s="57" t="s">
        <v>83</v>
      </c>
      <c r="D39" s="74">
        <f>D38+"0:01"</f>
        <v>0.2118055555555555</v>
      </c>
      <c r="E39" s="74">
        <f t="shared" ref="E39:T39" si="29">E38+"0:01"</f>
        <v>0.25347222222222243</v>
      </c>
      <c r="F39" s="74">
        <f t="shared" si="29"/>
        <v>0.2951388888888884</v>
      </c>
      <c r="G39" s="74">
        <f t="shared" si="29"/>
        <v>0.33680555555555541</v>
      </c>
      <c r="H39" s="74">
        <f t="shared" si="29"/>
        <v>0.37847222222222238</v>
      </c>
      <c r="I39" s="74">
        <f t="shared" si="29"/>
        <v>0.4201388888888884</v>
      </c>
      <c r="J39" s="74">
        <f t="shared" si="29"/>
        <v>0.46180555555555541</v>
      </c>
      <c r="K39" s="74">
        <f t="shared" si="29"/>
        <v>0.50347222222222243</v>
      </c>
      <c r="L39" s="74">
        <f t="shared" si="29"/>
        <v>0.5451388888888884</v>
      </c>
      <c r="M39" s="74">
        <f t="shared" si="29"/>
        <v>0.58680555555555536</v>
      </c>
      <c r="N39" s="74">
        <f t="shared" si="29"/>
        <v>0.62847222222222243</v>
      </c>
      <c r="O39" s="74">
        <f t="shared" si="29"/>
        <v>0.6701388888888884</v>
      </c>
      <c r="P39" s="74">
        <f t="shared" si="29"/>
        <v>0.71180555555555536</v>
      </c>
      <c r="Q39" s="74">
        <f t="shared" si="29"/>
        <v>0.75347222222222243</v>
      </c>
      <c r="R39" s="74">
        <f t="shared" si="29"/>
        <v>0.7951388888888884</v>
      </c>
      <c r="S39" s="74">
        <f t="shared" si="29"/>
        <v>0.83680555555555536</v>
      </c>
      <c r="T39" s="103">
        <f t="shared" si="29"/>
        <v>0.88402777777777763</v>
      </c>
    </row>
    <row r="40" spans="1:21" s="18" customFormat="1" ht="15" customHeight="1" x14ac:dyDescent="0.3">
      <c r="A40" s="158">
        <v>5</v>
      </c>
      <c r="B40" s="17" t="s">
        <v>40</v>
      </c>
      <c r="C40" s="57"/>
      <c r="D40" s="74">
        <f t="shared" ref="D40:D41" si="30">D39+"0:01"</f>
        <v>0.21249999999999994</v>
      </c>
      <c r="E40" s="74">
        <f t="shared" ref="E40:T40" si="31">E39+"0:01"</f>
        <v>0.25416666666666687</v>
      </c>
      <c r="F40" s="74">
        <f t="shared" si="31"/>
        <v>0.29583333333333284</v>
      </c>
      <c r="G40" s="74">
        <f t="shared" si="31"/>
        <v>0.33749999999999986</v>
      </c>
      <c r="H40" s="74">
        <f t="shared" si="31"/>
        <v>0.37916666666666682</v>
      </c>
      <c r="I40" s="74">
        <f t="shared" si="31"/>
        <v>0.42083333333333284</v>
      </c>
      <c r="J40" s="74">
        <f t="shared" si="31"/>
        <v>0.46249999999999986</v>
      </c>
      <c r="K40" s="74">
        <f t="shared" si="31"/>
        <v>0.50416666666666687</v>
      </c>
      <c r="L40" s="74">
        <f t="shared" si="31"/>
        <v>0.54583333333333284</v>
      </c>
      <c r="M40" s="74">
        <f t="shared" si="31"/>
        <v>0.5874999999999998</v>
      </c>
      <c r="N40" s="74">
        <f t="shared" si="31"/>
        <v>0.62916666666666687</v>
      </c>
      <c r="O40" s="74">
        <f t="shared" si="31"/>
        <v>0.67083333333333284</v>
      </c>
      <c r="P40" s="74">
        <f t="shared" si="31"/>
        <v>0.7124999999999998</v>
      </c>
      <c r="Q40" s="74">
        <f t="shared" si="31"/>
        <v>0.75416666666666687</v>
      </c>
      <c r="R40" s="74">
        <f t="shared" si="31"/>
        <v>0.79583333333333284</v>
      </c>
      <c r="S40" s="74">
        <f t="shared" si="31"/>
        <v>0.8374999999999998</v>
      </c>
      <c r="T40" s="103">
        <f t="shared" si="31"/>
        <v>0.88472222222222208</v>
      </c>
    </row>
    <row r="41" spans="1:21" s="18" customFormat="1" ht="15" customHeight="1" x14ac:dyDescent="0.3">
      <c r="A41" s="158">
        <v>4</v>
      </c>
      <c r="B41" s="17" t="s">
        <v>43</v>
      </c>
      <c r="C41" s="57"/>
      <c r="D41" s="74">
        <f t="shared" si="30"/>
        <v>0.21319444444444438</v>
      </c>
      <c r="E41" s="74">
        <f t="shared" ref="E41:T41" si="32">E40+"0:01"</f>
        <v>0.25486111111111132</v>
      </c>
      <c r="F41" s="74">
        <f t="shared" si="32"/>
        <v>0.29652777777777728</v>
      </c>
      <c r="G41" s="74">
        <f t="shared" si="32"/>
        <v>0.3381944444444443</v>
      </c>
      <c r="H41" s="74">
        <f t="shared" si="32"/>
        <v>0.37986111111111126</v>
      </c>
      <c r="I41" s="74">
        <f t="shared" si="32"/>
        <v>0.42152777777777728</v>
      </c>
      <c r="J41" s="74">
        <f t="shared" si="32"/>
        <v>0.4631944444444443</v>
      </c>
      <c r="K41" s="74">
        <f t="shared" si="32"/>
        <v>0.50486111111111132</v>
      </c>
      <c r="L41" s="74">
        <f t="shared" si="32"/>
        <v>0.54652777777777728</v>
      </c>
      <c r="M41" s="74">
        <f t="shared" si="32"/>
        <v>0.58819444444444424</v>
      </c>
      <c r="N41" s="74">
        <f t="shared" si="32"/>
        <v>0.62986111111111132</v>
      </c>
      <c r="O41" s="74">
        <f t="shared" si="32"/>
        <v>0.67152777777777728</v>
      </c>
      <c r="P41" s="74">
        <f t="shared" si="32"/>
        <v>0.71319444444444424</v>
      </c>
      <c r="Q41" s="74">
        <f t="shared" si="32"/>
        <v>0.75486111111111132</v>
      </c>
      <c r="R41" s="74">
        <f t="shared" si="32"/>
        <v>0.79652777777777728</v>
      </c>
      <c r="S41" s="74">
        <f t="shared" si="32"/>
        <v>0.83819444444444424</v>
      </c>
      <c r="T41" s="103">
        <f t="shared" si="32"/>
        <v>0.88541666666666652</v>
      </c>
    </row>
    <row r="42" spans="1:21" s="18" customFormat="1" ht="15" customHeight="1" x14ac:dyDescent="0.3">
      <c r="A42" s="158">
        <v>3</v>
      </c>
      <c r="B42" s="17" t="s">
        <v>39</v>
      </c>
      <c r="C42" s="57"/>
      <c r="D42" s="74" t="s">
        <v>36</v>
      </c>
      <c r="E42" s="74" t="s">
        <v>36</v>
      </c>
      <c r="F42" s="74" t="s">
        <v>36</v>
      </c>
      <c r="G42" s="74" t="s">
        <v>36</v>
      </c>
      <c r="H42" s="74" t="s">
        <v>36</v>
      </c>
      <c r="I42" s="74" t="s">
        <v>36</v>
      </c>
      <c r="J42" s="74" t="s">
        <v>36</v>
      </c>
      <c r="K42" s="74" t="s">
        <v>36</v>
      </c>
      <c r="L42" s="74" t="s">
        <v>36</v>
      </c>
      <c r="M42" s="74" t="s">
        <v>36</v>
      </c>
      <c r="N42" s="74" t="s">
        <v>36</v>
      </c>
      <c r="O42" s="74" t="s">
        <v>36</v>
      </c>
      <c r="P42" s="74" t="s">
        <v>36</v>
      </c>
      <c r="Q42" s="74" t="s">
        <v>36</v>
      </c>
      <c r="R42" s="74" t="s">
        <v>36</v>
      </c>
      <c r="S42" s="74" t="s">
        <v>36</v>
      </c>
      <c r="T42" s="103" t="s">
        <v>36</v>
      </c>
    </row>
    <row r="43" spans="1:21" s="18" customFormat="1" ht="15" customHeight="1" x14ac:dyDescent="0.3">
      <c r="A43" s="158">
        <v>2</v>
      </c>
      <c r="B43" s="17" t="s">
        <v>54</v>
      </c>
      <c r="C43" s="57"/>
      <c r="D43" s="74">
        <f>D41+"0:02"</f>
        <v>0.21458333333333326</v>
      </c>
      <c r="E43" s="74">
        <f t="shared" ref="E43:T43" si="33">E41+"0:02"</f>
        <v>0.2562500000000002</v>
      </c>
      <c r="F43" s="74">
        <f t="shared" si="33"/>
        <v>0.29791666666666616</v>
      </c>
      <c r="G43" s="74">
        <f t="shared" si="33"/>
        <v>0.33958333333333318</v>
      </c>
      <c r="H43" s="74">
        <f t="shared" si="33"/>
        <v>0.38125000000000014</v>
      </c>
      <c r="I43" s="74">
        <f t="shared" si="33"/>
        <v>0.42291666666666616</v>
      </c>
      <c r="J43" s="74">
        <f t="shared" si="33"/>
        <v>0.46458333333333318</v>
      </c>
      <c r="K43" s="74">
        <f t="shared" si="33"/>
        <v>0.5062500000000002</v>
      </c>
      <c r="L43" s="74">
        <f t="shared" si="33"/>
        <v>0.54791666666666616</v>
      </c>
      <c r="M43" s="74">
        <f t="shared" si="33"/>
        <v>0.58958333333333313</v>
      </c>
      <c r="N43" s="74">
        <f t="shared" si="33"/>
        <v>0.6312500000000002</v>
      </c>
      <c r="O43" s="74">
        <f t="shared" si="33"/>
        <v>0.67291666666666616</v>
      </c>
      <c r="P43" s="74">
        <f t="shared" si="33"/>
        <v>0.71458333333333313</v>
      </c>
      <c r="Q43" s="74">
        <f t="shared" si="33"/>
        <v>0.7562500000000002</v>
      </c>
      <c r="R43" s="74">
        <f t="shared" si="33"/>
        <v>0.79791666666666616</v>
      </c>
      <c r="S43" s="74">
        <f t="shared" si="33"/>
        <v>0.83958333333333313</v>
      </c>
      <c r="T43" s="103">
        <f t="shared" si="33"/>
        <v>0.8868055555555554</v>
      </c>
    </row>
    <row r="44" spans="1:21" s="18" customFormat="1" ht="15" customHeight="1" thickBot="1" x14ac:dyDescent="0.35">
      <c r="A44" s="159">
        <v>1</v>
      </c>
      <c r="B44" s="160" t="s">
        <v>53</v>
      </c>
      <c r="C44" s="161" t="s">
        <v>84</v>
      </c>
      <c r="D44" s="107">
        <f t="shared" ref="D44" si="34">D43+"0:01"</f>
        <v>0.21527777777777771</v>
      </c>
      <c r="E44" s="107">
        <f t="shared" ref="E44:T44" si="35">E43+"0:01"</f>
        <v>0.25694444444444464</v>
      </c>
      <c r="F44" s="107">
        <f t="shared" si="35"/>
        <v>0.29861111111111061</v>
      </c>
      <c r="G44" s="107">
        <f t="shared" si="35"/>
        <v>0.34027777777777762</v>
      </c>
      <c r="H44" s="107">
        <f t="shared" si="35"/>
        <v>0.38194444444444459</v>
      </c>
      <c r="I44" s="107">
        <f t="shared" si="35"/>
        <v>0.42361111111111061</v>
      </c>
      <c r="J44" s="107">
        <f t="shared" si="35"/>
        <v>0.46527777777777762</v>
      </c>
      <c r="K44" s="107">
        <f t="shared" si="35"/>
        <v>0.50694444444444464</v>
      </c>
      <c r="L44" s="107">
        <f t="shared" si="35"/>
        <v>0.54861111111111061</v>
      </c>
      <c r="M44" s="107">
        <f t="shared" si="35"/>
        <v>0.59027777777777757</v>
      </c>
      <c r="N44" s="107">
        <f t="shared" si="35"/>
        <v>0.63194444444444464</v>
      </c>
      <c r="O44" s="107">
        <f t="shared" si="35"/>
        <v>0.67361111111111061</v>
      </c>
      <c r="P44" s="107">
        <f t="shared" si="35"/>
        <v>0.71527777777777757</v>
      </c>
      <c r="Q44" s="107">
        <f t="shared" si="35"/>
        <v>0.75694444444444464</v>
      </c>
      <c r="R44" s="107">
        <f t="shared" si="35"/>
        <v>0.79861111111111061</v>
      </c>
      <c r="S44" s="107">
        <f t="shared" si="35"/>
        <v>0.84027777777777757</v>
      </c>
      <c r="T44" s="108">
        <f t="shared" si="35"/>
        <v>0.88749999999999984</v>
      </c>
    </row>
    <row r="45" spans="1:21" s="29" customFormat="1" ht="14.4" thickBot="1" x14ac:dyDescent="0.35">
      <c r="A45" s="29" t="s">
        <v>35</v>
      </c>
      <c r="B45" s="13" t="s">
        <v>2</v>
      </c>
      <c r="C45" s="35"/>
      <c r="D45" s="91">
        <v>9</v>
      </c>
      <c r="E45" s="91">
        <v>9</v>
      </c>
      <c r="F45" s="91">
        <v>9</v>
      </c>
      <c r="G45" s="91">
        <v>9</v>
      </c>
      <c r="H45" s="91">
        <v>9</v>
      </c>
      <c r="I45" s="91">
        <v>9</v>
      </c>
      <c r="J45" s="91">
        <v>9</v>
      </c>
      <c r="K45" s="91">
        <v>9</v>
      </c>
      <c r="L45" s="91">
        <v>9</v>
      </c>
      <c r="M45" s="91">
        <v>9</v>
      </c>
      <c r="N45" s="91">
        <v>9</v>
      </c>
      <c r="O45" s="91">
        <v>9</v>
      </c>
      <c r="P45" s="91">
        <v>9</v>
      </c>
      <c r="Q45" s="91">
        <v>9</v>
      </c>
      <c r="R45" s="91">
        <v>9</v>
      </c>
      <c r="S45" s="91">
        <v>9</v>
      </c>
      <c r="T45" s="91">
        <v>9</v>
      </c>
      <c r="U45" s="163">
        <f>SUM(D45:T45)</f>
        <v>153</v>
      </c>
    </row>
  </sheetData>
  <sheetProtection formatCells="0" formatColumns="0" formatRows="0" insertColumns="0" insertRows="0" insertHyperlinks="0" deleteColumns="0" deleteRows="0" sort="0" autoFilter="0" pivotTables="0"/>
  <pageMargins left="0.25" right="0.25" top="0.75" bottom="0.75" header="0.3" footer="0.3"/>
  <pageSetup paperSize="9" orientation="landscape" r:id="rId1"/>
  <headerFooter>
    <oddHeader>&amp;RPrinz návrh jízdních řádů 2026</oddHead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2B71-562C-4673-9A81-CA9C089E2F3E}">
  <sheetPr>
    <pageSetUpPr fitToPage="1"/>
  </sheetPr>
  <dimension ref="A1:AE65"/>
  <sheetViews>
    <sheetView tabSelected="1" zoomScaleNormal="100" workbookViewId="0">
      <selection activeCell="B31" sqref="B31"/>
    </sheetView>
  </sheetViews>
  <sheetFormatPr defaultColWidth="8.6640625" defaultRowHeight="13.2" x14ac:dyDescent="0.3"/>
  <cols>
    <col min="1" max="1" width="4.6640625" style="1" customWidth="1"/>
    <col min="2" max="2" width="25.109375" style="1" customWidth="1"/>
    <col min="3" max="3" width="5.44140625" style="24" customWidth="1"/>
    <col min="4" max="4" width="6.88671875" style="1" customWidth="1"/>
    <col min="5" max="5" width="6.109375" style="1" customWidth="1"/>
    <col min="6" max="6" width="5.44140625" style="1" customWidth="1"/>
    <col min="7" max="10" width="4.6640625" style="1" customWidth="1"/>
    <col min="11" max="25" width="5.33203125" style="1" customWidth="1"/>
    <col min="26" max="26" width="6.109375" style="1" customWidth="1"/>
    <col min="27" max="28" width="5.88671875" style="1" customWidth="1"/>
    <col min="29" max="29" width="5.5546875" style="1" customWidth="1"/>
    <col min="30" max="30" width="5.109375" style="1" customWidth="1"/>
    <col min="31" max="32" width="4.6640625" style="1" customWidth="1"/>
    <col min="33" max="16384" width="8.6640625" style="1"/>
  </cols>
  <sheetData>
    <row r="1" spans="1:27" s="3" customFormat="1" ht="18" customHeight="1" x14ac:dyDescent="0.3">
      <c r="A1" s="2" t="s">
        <v>13</v>
      </c>
      <c r="B1" s="2"/>
      <c r="C1" s="14"/>
      <c r="D1" s="2" t="s">
        <v>103</v>
      </c>
    </row>
    <row r="2" spans="1:27" s="3" customFormat="1" ht="18" customHeight="1" x14ac:dyDescent="0.3">
      <c r="A2" s="2"/>
      <c r="B2" s="2"/>
      <c r="C2" s="14"/>
      <c r="D2" s="2"/>
    </row>
    <row r="3" spans="1:27" s="3" customFormat="1" ht="15" customHeight="1" thickBot="1" x14ac:dyDescent="0.35">
      <c r="A3" s="4"/>
      <c r="B3" s="66" t="s">
        <v>15</v>
      </c>
      <c r="C3" s="14"/>
    </row>
    <row r="4" spans="1:27" s="3" customFormat="1" ht="15" customHeight="1" x14ac:dyDescent="0.3">
      <c r="A4" s="98" t="s">
        <v>1</v>
      </c>
      <c r="B4" s="110"/>
      <c r="C4" s="100"/>
      <c r="D4" s="141">
        <v>1</v>
      </c>
      <c r="E4" s="141">
        <v>3</v>
      </c>
      <c r="F4" s="141">
        <v>5</v>
      </c>
      <c r="G4" s="141">
        <f>F4+2</f>
        <v>7</v>
      </c>
      <c r="H4" s="141">
        <f t="shared" ref="H4:Y4" si="0">G4+2</f>
        <v>9</v>
      </c>
      <c r="I4" s="141">
        <f t="shared" si="0"/>
        <v>11</v>
      </c>
      <c r="J4" s="141">
        <f t="shared" si="0"/>
        <v>13</v>
      </c>
      <c r="K4" s="141">
        <f t="shared" si="0"/>
        <v>15</v>
      </c>
      <c r="L4" s="141">
        <f t="shared" si="0"/>
        <v>17</v>
      </c>
      <c r="M4" s="141">
        <f t="shared" si="0"/>
        <v>19</v>
      </c>
      <c r="N4" s="141">
        <f t="shared" si="0"/>
        <v>21</v>
      </c>
      <c r="O4" s="141">
        <f t="shared" si="0"/>
        <v>23</v>
      </c>
      <c r="P4" s="141">
        <f t="shared" si="0"/>
        <v>25</v>
      </c>
      <c r="Q4" s="141">
        <f t="shared" si="0"/>
        <v>27</v>
      </c>
      <c r="R4" s="141">
        <f t="shared" si="0"/>
        <v>29</v>
      </c>
      <c r="S4" s="141">
        <f t="shared" si="0"/>
        <v>31</v>
      </c>
      <c r="T4" s="141">
        <f t="shared" si="0"/>
        <v>33</v>
      </c>
      <c r="U4" s="141">
        <f t="shared" si="0"/>
        <v>35</v>
      </c>
      <c r="V4" s="141">
        <f t="shared" si="0"/>
        <v>37</v>
      </c>
      <c r="W4" s="141">
        <f t="shared" si="0"/>
        <v>39</v>
      </c>
      <c r="X4" s="141">
        <f t="shared" si="0"/>
        <v>41</v>
      </c>
      <c r="Y4" s="142">
        <f t="shared" si="0"/>
        <v>43</v>
      </c>
      <c r="Z4" s="14"/>
      <c r="AA4" s="14"/>
    </row>
    <row r="5" spans="1:27" s="3" customFormat="1" ht="15" customHeight="1" x14ac:dyDescent="0.3">
      <c r="A5" s="102">
        <v>1</v>
      </c>
      <c r="B5" s="97" t="s">
        <v>52</v>
      </c>
      <c r="C5" s="96" t="s">
        <v>83</v>
      </c>
      <c r="D5" s="74">
        <v>0.23819444444444446</v>
      </c>
      <c r="E5" s="74">
        <v>0.27986111111111101</v>
      </c>
      <c r="F5" s="74">
        <v>0.32152777777777802</v>
      </c>
      <c r="G5" s="74">
        <v>0.3354166666666667</v>
      </c>
      <c r="H5" s="74">
        <v>0.36319444444444399</v>
      </c>
      <c r="I5" s="74">
        <v>0.37708333333333338</v>
      </c>
      <c r="J5" s="74">
        <v>0.40486111111111101</v>
      </c>
      <c r="K5" s="74">
        <v>0.41875000000000001</v>
      </c>
      <c r="L5" s="74">
        <v>0.44652777777777802</v>
      </c>
      <c r="M5" s="74">
        <v>0.4604166666666667</v>
      </c>
      <c r="N5" s="74">
        <v>0.48819444444444399</v>
      </c>
      <c r="O5" s="74">
        <v>0.50208333333333333</v>
      </c>
      <c r="P5" s="74">
        <v>0.52986111111111101</v>
      </c>
      <c r="Q5" s="74">
        <v>0.54375000000000007</v>
      </c>
      <c r="R5" s="74">
        <v>0.57152777777777797</v>
      </c>
      <c r="S5" s="74">
        <v>0.61319444444444404</v>
      </c>
      <c r="T5" s="74">
        <v>0.65486111111111101</v>
      </c>
      <c r="U5" s="74">
        <v>0.69652777777777797</v>
      </c>
      <c r="V5" s="74">
        <v>0.73819444444444404</v>
      </c>
      <c r="W5" s="74">
        <v>0.77986111111111101</v>
      </c>
      <c r="X5" s="74">
        <v>0.82152777777777697</v>
      </c>
      <c r="Y5" s="103">
        <v>0.86319444444444404</v>
      </c>
      <c r="Z5" s="14"/>
      <c r="AA5" s="14"/>
    </row>
    <row r="6" spans="1:27" s="3" customFormat="1" ht="15" customHeight="1" x14ac:dyDescent="0.3">
      <c r="A6" s="102">
        <v>2</v>
      </c>
      <c r="B6" s="97" t="s">
        <v>51</v>
      </c>
      <c r="C6" s="96"/>
      <c r="D6" s="74">
        <f t="shared" ref="D6:Y6" si="1">D5+"0:02"</f>
        <v>0.23958333333333334</v>
      </c>
      <c r="E6" s="74">
        <f t="shared" si="1"/>
        <v>0.28124999999999989</v>
      </c>
      <c r="F6" s="74">
        <f t="shared" si="1"/>
        <v>0.32291666666666691</v>
      </c>
      <c r="G6" s="74">
        <f t="shared" ref="G6:I6" si="2">G5+"0:02"</f>
        <v>0.33680555555555558</v>
      </c>
      <c r="H6" s="74">
        <f t="shared" si="1"/>
        <v>0.36458333333333287</v>
      </c>
      <c r="I6" s="74">
        <f t="shared" si="2"/>
        <v>0.37847222222222227</v>
      </c>
      <c r="J6" s="74">
        <f t="shared" si="1"/>
        <v>0.40624999999999989</v>
      </c>
      <c r="K6" s="74">
        <f t="shared" si="1"/>
        <v>0.4201388888888889</v>
      </c>
      <c r="L6" s="74">
        <f t="shared" si="1"/>
        <v>0.44791666666666691</v>
      </c>
      <c r="M6" s="74">
        <f t="shared" ref="M6:O6" si="3">M5+"0:02"</f>
        <v>0.46180555555555558</v>
      </c>
      <c r="N6" s="74">
        <f t="shared" si="1"/>
        <v>0.48958333333333287</v>
      </c>
      <c r="O6" s="74">
        <f t="shared" si="3"/>
        <v>0.50347222222222221</v>
      </c>
      <c r="P6" s="74">
        <f t="shared" si="1"/>
        <v>0.53124999999999989</v>
      </c>
      <c r="Q6" s="74">
        <f t="shared" si="1"/>
        <v>0.54513888888888895</v>
      </c>
      <c r="R6" s="74">
        <f t="shared" si="1"/>
        <v>0.57291666666666685</v>
      </c>
      <c r="S6" s="74">
        <f t="shared" si="1"/>
        <v>0.61458333333333293</v>
      </c>
      <c r="T6" s="74">
        <f t="shared" si="1"/>
        <v>0.65624999999999989</v>
      </c>
      <c r="U6" s="74">
        <f t="shared" si="1"/>
        <v>0.69791666666666685</v>
      </c>
      <c r="V6" s="74">
        <f t="shared" si="1"/>
        <v>0.73958333333333293</v>
      </c>
      <c r="W6" s="74">
        <f t="shared" si="1"/>
        <v>0.78124999999999989</v>
      </c>
      <c r="X6" s="74">
        <f t="shared" si="1"/>
        <v>0.82291666666666585</v>
      </c>
      <c r="Y6" s="103">
        <f t="shared" si="1"/>
        <v>0.86458333333333293</v>
      </c>
      <c r="Z6" s="14"/>
      <c r="AA6" s="14"/>
    </row>
    <row r="7" spans="1:27" s="3" customFormat="1" ht="15" customHeight="1" x14ac:dyDescent="0.3">
      <c r="A7" s="102">
        <v>3</v>
      </c>
      <c r="B7" s="97" t="s">
        <v>50</v>
      </c>
      <c r="C7" s="96"/>
      <c r="D7" s="74">
        <f t="shared" ref="D7:Y9" si="4">D6+"0:01"</f>
        <v>0.24027777777777778</v>
      </c>
      <c r="E7" s="74">
        <f t="shared" si="4"/>
        <v>0.28194444444444433</v>
      </c>
      <c r="F7" s="74">
        <f t="shared" si="4"/>
        <v>0.32361111111111135</v>
      </c>
      <c r="G7" s="74">
        <f t="shared" ref="G7:I7" si="5">G6+"0:01"</f>
        <v>0.33750000000000002</v>
      </c>
      <c r="H7" s="74">
        <f t="shared" si="4"/>
        <v>0.36527777777777731</v>
      </c>
      <c r="I7" s="74">
        <f t="shared" si="5"/>
        <v>0.37916666666666671</v>
      </c>
      <c r="J7" s="74">
        <f t="shared" si="4"/>
        <v>0.40694444444444433</v>
      </c>
      <c r="K7" s="74">
        <f t="shared" si="4"/>
        <v>0.42083333333333334</v>
      </c>
      <c r="L7" s="74">
        <f t="shared" si="4"/>
        <v>0.44861111111111135</v>
      </c>
      <c r="M7" s="74">
        <f t="shared" ref="M7:O7" si="6">M6+"0:01"</f>
        <v>0.46250000000000002</v>
      </c>
      <c r="N7" s="74">
        <f t="shared" si="4"/>
        <v>0.49027777777777731</v>
      </c>
      <c r="O7" s="74">
        <f t="shared" si="6"/>
        <v>0.50416666666666665</v>
      </c>
      <c r="P7" s="74">
        <f t="shared" si="4"/>
        <v>0.53194444444444433</v>
      </c>
      <c r="Q7" s="74">
        <f t="shared" si="4"/>
        <v>0.54583333333333339</v>
      </c>
      <c r="R7" s="74">
        <f t="shared" si="4"/>
        <v>0.57361111111111129</v>
      </c>
      <c r="S7" s="74">
        <f t="shared" si="4"/>
        <v>0.61527777777777737</v>
      </c>
      <c r="T7" s="74">
        <f t="shared" si="4"/>
        <v>0.65694444444444433</v>
      </c>
      <c r="U7" s="74">
        <f t="shared" si="4"/>
        <v>0.69861111111111129</v>
      </c>
      <c r="V7" s="74">
        <f t="shared" si="4"/>
        <v>0.74027777777777737</v>
      </c>
      <c r="W7" s="74">
        <f t="shared" si="4"/>
        <v>0.78194444444444433</v>
      </c>
      <c r="X7" s="74">
        <f t="shared" si="4"/>
        <v>0.82361111111111029</v>
      </c>
      <c r="Y7" s="103">
        <f t="shared" si="4"/>
        <v>0.86527777777777737</v>
      </c>
      <c r="Z7" s="14"/>
      <c r="AA7" s="14"/>
    </row>
    <row r="8" spans="1:27" s="3" customFormat="1" ht="15" customHeight="1" x14ac:dyDescent="0.3">
      <c r="A8" s="102">
        <v>4</v>
      </c>
      <c r="B8" s="97" t="s">
        <v>49</v>
      </c>
      <c r="C8" s="96"/>
      <c r="D8" s="74">
        <f t="shared" si="4"/>
        <v>0.24097222222222223</v>
      </c>
      <c r="E8" s="74">
        <f t="shared" si="4"/>
        <v>0.28263888888888877</v>
      </c>
      <c r="F8" s="74">
        <f t="shared" si="4"/>
        <v>0.32430555555555579</v>
      </c>
      <c r="G8" s="74">
        <f t="shared" ref="G8:I8" si="7">G7+"0:01"</f>
        <v>0.33819444444444446</v>
      </c>
      <c r="H8" s="74">
        <f t="shared" si="4"/>
        <v>0.36597222222222175</v>
      </c>
      <c r="I8" s="74">
        <f t="shared" si="7"/>
        <v>0.37986111111111115</v>
      </c>
      <c r="J8" s="74">
        <f t="shared" si="4"/>
        <v>0.40763888888888877</v>
      </c>
      <c r="K8" s="74">
        <f t="shared" si="4"/>
        <v>0.42152777777777778</v>
      </c>
      <c r="L8" s="74">
        <f t="shared" si="4"/>
        <v>0.44930555555555579</v>
      </c>
      <c r="M8" s="74">
        <f t="shared" ref="M8:O8" si="8">M7+"0:01"</f>
        <v>0.46319444444444446</v>
      </c>
      <c r="N8" s="74">
        <f t="shared" si="4"/>
        <v>0.49097222222222175</v>
      </c>
      <c r="O8" s="74">
        <f t="shared" si="8"/>
        <v>0.50486111111111109</v>
      </c>
      <c r="P8" s="74">
        <f t="shared" si="4"/>
        <v>0.53263888888888877</v>
      </c>
      <c r="Q8" s="74">
        <f t="shared" si="4"/>
        <v>0.54652777777777783</v>
      </c>
      <c r="R8" s="74">
        <f t="shared" si="4"/>
        <v>0.57430555555555574</v>
      </c>
      <c r="S8" s="74">
        <f t="shared" si="4"/>
        <v>0.61597222222222181</v>
      </c>
      <c r="T8" s="74">
        <f t="shared" si="4"/>
        <v>0.65763888888888877</v>
      </c>
      <c r="U8" s="74">
        <f t="shared" si="4"/>
        <v>0.69930555555555574</v>
      </c>
      <c r="V8" s="74">
        <f t="shared" si="4"/>
        <v>0.74097222222222181</v>
      </c>
      <c r="W8" s="74">
        <f t="shared" si="4"/>
        <v>0.78263888888888877</v>
      </c>
      <c r="X8" s="74">
        <f t="shared" si="4"/>
        <v>0.82430555555555474</v>
      </c>
      <c r="Y8" s="103">
        <f t="shared" si="4"/>
        <v>0.86597222222222181</v>
      </c>
      <c r="Z8" s="14"/>
      <c r="AA8" s="14"/>
    </row>
    <row r="9" spans="1:27" s="3" customFormat="1" ht="15" customHeight="1" x14ac:dyDescent="0.3">
      <c r="A9" s="102">
        <v>5</v>
      </c>
      <c r="B9" s="97" t="s">
        <v>48</v>
      </c>
      <c r="C9" s="96"/>
      <c r="D9" s="74">
        <f t="shared" si="4"/>
        <v>0.24166666666666667</v>
      </c>
      <c r="E9" s="74">
        <f t="shared" si="4"/>
        <v>0.28333333333333321</v>
      </c>
      <c r="F9" s="74">
        <f t="shared" si="4"/>
        <v>0.32500000000000023</v>
      </c>
      <c r="G9" s="74">
        <f t="shared" ref="G9:I9" si="9">G8+"0:01"</f>
        <v>0.33888888888888891</v>
      </c>
      <c r="H9" s="74">
        <f t="shared" si="4"/>
        <v>0.3666666666666662</v>
      </c>
      <c r="I9" s="74">
        <f t="shared" si="9"/>
        <v>0.38055555555555559</v>
      </c>
      <c r="J9" s="74">
        <f t="shared" si="4"/>
        <v>0.40833333333333321</v>
      </c>
      <c r="K9" s="74">
        <f t="shared" si="4"/>
        <v>0.42222222222222222</v>
      </c>
      <c r="L9" s="74">
        <f t="shared" si="4"/>
        <v>0.45000000000000023</v>
      </c>
      <c r="M9" s="74">
        <f t="shared" ref="M9:O9" si="10">M8+"0:01"</f>
        <v>0.46388888888888891</v>
      </c>
      <c r="N9" s="74">
        <f t="shared" si="4"/>
        <v>0.4916666666666662</v>
      </c>
      <c r="O9" s="74">
        <f t="shared" si="10"/>
        <v>0.50555555555555554</v>
      </c>
      <c r="P9" s="74">
        <f t="shared" si="4"/>
        <v>0.53333333333333321</v>
      </c>
      <c r="Q9" s="74">
        <f t="shared" si="4"/>
        <v>0.54722222222222228</v>
      </c>
      <c r="R9" s="74">
        <f t="shared" si="4"/>
        <v>0.57500000000000018</v>
      </c>
      <c r="S9" s="74">
        <f t="shared" si="4"/>
        <v>0.61666666666666625</v>
      </c>
      <c r="T9" s="74">
        <f t="shared" si="4"/>
        <v>0.65833333333333321</v>
      </c>
      <c r="U9" s="74">
        <f t="shared" si="4"/>
        <v>0.70000000000000018</v>
      </c>
      <c r="V9" s="74">
        <f t="shared" si="4"/>
        <v>0.74166666666666625</v>
      </c>
      <c r="W9" s="74">
        <f t="shared" si="4"/>
        <v>0.78333333333333321</v>
      </c>
      <c r="X9" s="74">
        <f t="shared" si="4"/>
        <v>0.82499999999999918</v>
      </c>
      <c r="Y9" s="103">
        <f t="shared" si="4"/>
        <v>0.86666666666666625</v>
      </c>
      <c r="Z9" s="14"/>
      <c r="AA9" s="14"/>
    </row>
    <row r="10" spans="1:27" s="3" customFormat="1" ht="15" customHeight="1" x14ac:dyDescent="0.3">
      <c r="A10" s="102">
        <v>6</v>
      </c>
      <c r="B10" s="97" t="s">
        <v>47</v>
      </c>
      <c r="C10" s="96"/>
      <c r="D10" s="74">
        <f>D9+"0:02"</f>
        <v>0.24305555555555555</v>
      </c>
      <c r="E10" s="74">
        <f t="shared" ref="E10:Y10" si="11">E9+"0:02"</f>
        <v>0.2847222222222221</v>
      </c>
      <c r="F10" s="74">
        <f t="shared" si="11"/>
        <v>0.32638888888888912</v>
      </c>
      <c r="G10" s="74">
        <f t="shared" ref="G10:I10" si="12">G9+"0:02"</f>
        <v>0.34027777777777779</v>
      </c>
      <c r="H10" s="74">
        <f t="shared" si="11"/>
        <v>0.36805555555555508</v>
      </c>
      <c r="I10" s="74">
        <f t="shared" si="12"/>
        <v>0.38194444444444448</v>
      </c>
      <c r="J10" s="74">
        <f t="shared" si="11"/>
        <v>0.4097222222222221</v>
      </c>
      <c r="K10" s="74">
        <f t="shared" si="11"/>
        <v>0.4236111111111111</v>
      </c>
      <c r="L10" s="74">
        <f t="shared" si="11"/>
        <v>0.45138888888888912</v>
      </c>
      <c r="M10" s="74">
        <f t="shared" ref="M10:O10" si="13">M9+"0:02"</f>
        <v>0.46527777777777779</v>
      </c>
      <c r="N10" s="74">
        <f t="shared" si="11"/>
        <v>0.49305555555555508</v>
      </c>
      <c r="O10" s="74">
        <f t="shared" si="13"/>
        <v>0.50694444444444442</v>
      </c>
      <c r="P10" s="74">
        <f t="shared" si="11"/>
        <v>0.5347222222222221</v>
      </c>
      <c r="Q10" s="74">
        <f t="shared" si="11"/>
        <v>0.54861111111111116</v>
      </c>
      <c r="R10" s="74">
        <f t="shared" si="11"/>
        <v>0.57638888888888906</v>
      </c>
      <c r="S10" s="74">
        <f t="shared" si="11"/>
        <v>0.61805555555555514</v>
      </c>
      <c r="T10" s="74">
        <f t="shared" si="11"/>
        <v>0.6597222222222221</v>
      </c>
      <c r="U10" s="74">
        <f t="shared" si="11"/>
        <v>0.70138888888888906</v>
      </c>
      <c r="V10" s="74">
        <f t="shared" si="11"/>
        <v>0.74305555555555514</v>
      </c>
      <c r="W10" s="74">
        <f t="shared" si="11"/>
        <v>0.7847222222222221</v>
      </c>
      <c r="X10" s="74">
        <f t="shared" si="11"/>
        <v>0.82638888888888806</v>
      </c>
      <c r="Y10" s="103">
        <f t="shared" si="11"/>
        <v>0.86805555555555514</v>
      </c>
      <c r="Z10" s="14"/>
      <c r="AA10" s="14"/>
    </row>
    <row r="11" spans="1:27" s="3" customFormat="1" ht="15" customHeight="1" x14ac:dyDescent="0.3">
      <c r="A11" s="102">
        <v>7</v>
      </c>
      <c r="B11" s="97" t="s">
        <v>46</v>
      </c>
      <c r="C11" s="96"/>
      <c r="D11" s="74">
        <f>D10+"0:01"</f>
        <v>0.24374999999999999</v>
      </c>
      <c r="E11" s="74">
        <f t="shared" ref="E11:Y11" si="14">E10+"0:01"</f>
        <v>0.28541666666666654</v>
      </c>
      <c r="F11" s="74">
        <f t="shared" si="14"/>
        <v>0.32708333333333356</v>
      </c>
      <c r="G11" s="74">
        <f t="shared" ref="G11:I11" si="15">G10+"0:01"</f>
        <v>0.34097222222222223</v>
      </c>
      <c r="H11" s="74">
        <f t="shared" si="14"/>
        <v>0.36874999999999952</v>
      </c>
      <c r="I11" s="74">
        <f t="shared" si="15"/>
        <v>0.38263888888888892</v>
      </c>
      <c r="J11" s="74">
        <f t="shared" si="14"/>
        <v>0.41041666666666654</v>
      </c>
      <c r="K11" s="74">
        <f t="shared" si="14"/>
        <v>0.42430555555555555</v>
      </c>
      <c r="L11" s="74">
        <f t="shared" si="14"/>
        <v>0.45208333333333356</v>
      </c>
      <c r="M11" s="74">
        <f t="shared" ref="M11:O11" si="16">M10+"0:01"</f>
        <v>0.46597222222222223</v>
      </c>
      <c r="N11" s="74">
        <f t="shared" si="14"/>
        <v>0.49374999999999952</v>
      </c>
      <c r="O11" s="74">
        <f t="shared" si="16"/>
        <v>0.50763888888888886</v>
      </c>
      <c r="P11" s="74">
        <f t="shared" si="14"/>
        <v>0.53541666666666654</v>
      </c>
      <c r="Q11" s="74">
        <f t="shared" si="14"/>
        <v>0.5493055555555556</v>
      </c>
      <c r="R11" s="74">
        <f t="shared" si="14"/>
        <v>0.5770833333333335</v>
      </c>
      <c r="S11" s="74">
        <f t="shared" si="14"/>
        <v>0.61874999999999958</v>
      </c>
      <c r="T11" s="74">
        <f t="shared" si="14"/>
        <v>0.66041666666666654</v>
      </c>
      <c r="U11" s="74">
        <f t="shared" si="14"/>
        <v>0.7020833333333335</v>
      </c>
      <c r="V11" s="74">
        <f t="shared" si="14"/>
        <v>0.74374999999999958</v>
      </c>
      <c r="W11" s="74">
        <f t="shared" si="14"/>
        <v>0.78541666666666654</v>
      </c>
      <c r="X11" s="74">
        <f t="shared" si="14"/>
        <v>0.8270833333333325</v>
      </c>
      <c r="Y11" s="103">
        <f t="shared" si="14"/>
        <v>0.86874999999999958</v>
      </c>
      <c r="Z11" s="14"/>
      <c r="AA11" s="14"/>
    </row>
    <row r="12" spans="1:27" s="3" customFormat="1" ht="15" customHeight="1" x14ac:dyDescent="0.3">
      <c r="A12" s="102">
        <v>8</v>
      </c>
      <c r="B12" s="97" t="s">
        <v>67</v>
      </c>
      <c r="C12" s="96"/>
      <c r="D12" s="74">
        <f>D11+"0:02"</f>
        <v>0.24513888888888888</v>
      </c>
      <c r="E12" s="74">
        <f t="shared" ref="E12:Y12" si="17">E11+"0:02"</f>
        <v>0.28680555555555542</v>
      </c>
      <c r="F12" s="74">
        <f t="shared" si="17"/>
        <v>0.32847222222222244</v>
      </c>
      <c r="G12" s="74">
        <f t="shared" ref="G12:I12" si="18">G11+"0:02"</f>
        <v>0.34236111111111112</v>
      </c>
      <c r="H12" s="74">
        <f t="shared" si="17"/>
        <v>0.37013888888888841</v>
      </c>
      <c r="I12" s="74">
        <f t="shared" si="18"/>
        <v>0.3840277777777778</v>
      </c>
      <c r="J12" s="74">
        <f t="shared" si="17"/>
        <v>0.41180555555555542</v>
      </c>
      <c r="K12" s="74">
        <f t="shared" si="17"/>
        <v>0.42569444444444443</v>
      </c>
      <c r="L12" s="74">
        <f t="shared" si="17"/>
        <v>0.45347222222222244</v>
      </c>
      <c r="M12" s="74">
        <f t="shared" ref="M12:O12" si="19">M11+"0:02"</f>
        <v>0.46736111111111112</v>
      </c>
      <c r="N12" s="74">
        <f t="shared" si="17"/>
        <v>0.49513888888888841</v>
      </c>
      <c r="O12" s="74">
        <f t="shared" si="19"/>
        <v>0.50902777777777775</v>
      </c>
      <c r="P12" s="74">
        <f t="shared" si="17"/>
        <v>0.53680555555555542</v>
      </c>
      <c r="Q12" s="74">
        <f t="shared" si="17"/>
        <v>0.55069444444444449</v>
      </c>
      <c r="R12" s="74">
        <f t="shared" si="17"/>
        <v>0.57847222222222239</v>
      </c>
      <c r="S12" s="74">
        <f t="shared" si="17"/>
        <v>0.62013888888888846</v>
      </c>
      <c r="T12" s="74">
        <f t="shared" si="17"/>
        <v>0.66180555555555542</v>
      </c>
      <c r="U12" s="74">
        <f t="shared" si="17"/>
        <v>0.70347222222222239</v>
      </c>
      <c r="V12" s="74">
        <f t="shared" si="17"/>
        <v>0.74513888888888846</v>
      </c>
      <c r="W12" s="74">
        <f t="shared" si="17"/>
        <v>0.78680555555555542</v>
      </c>
      <c r="X12" s="74">
        <f t="shared" si="17"/>
        <v>0.82847222222222139</v>
      </c>
      <c r="Y12" s="103">
        <f t="shared" si="17"/>
        <v>0.87013888888888846</v>
      </c>
      <c r="Z12" s="14"/>
      <c r="AA12" s="14"/>
    </row>
    <row r="13" spans="1:27" s="3" customFormat="1" ht="15" customHeight="1" x14ac:dyDescent="0.3">
      <c r="A13" s="102">
        <v>9</v>
      </c>
      <c r="B13" s="97" t="s">
        <v>23</v>
      </c>
      <c r="C13" s="96"/>
      <c r="D13" s="74">
        <f>D12+"0:01"</f>
        <v>0.24583333333333332</v>
      </c>
      <c r="E13" s="74">
        <f t="shared" ref="E13:Y14" si="20">E12+"0:01"</f>
        <v>0.28749999999999987</v>
      </c>
      <c r="F13" s="74">
        <f t="shared" si="20"/>
        <v>0.32916666666666689</v>
      </c>
      <c r="G13" s="74">
        <f t="shared" ref="G13:I13" si="21">G12+"0:01"</f>
        <v>0.34305555555555556</v>
      </c>
      <c r="H13" s="74">
        <f t="shared" si="20"/>
        <v>0.37083333333333285</v>
      </c>
      <c r="I13" s="74">
        <f t="shared" si="21"/>
        <v>0.38472222222222224</v>
      </c>
      <c r="J13" s="74">
        <f t="shared" si="20"/>
        <v>0.41249999999999987</v>
      </c>
      <c r="K13" s="74">
        <f t="shared" si="20"/>
        <v>0.42638888888888887</v>
      </c>
      <c r="L13" s="74">
        <f t="shared" si="20"/>
        <v>0.45416666666666689</v>
      </c>
      <c r="M13" s="74">
        <f t="shared" ref="M13:O13" si="22">M12+"0:01"</f>
        <v>0.46805555555555556</v>
      </c>
      <c r="N13" s="74">
        <f t="shared" si="20"/>
        <v>0.49583333333333285</v>
      </c>
      <c r="O13" s="74">
        <f t="shared" si="22"/>
        <v>0.50972222222222219</v>
      </c>
      <c r="P13" s="74">
        <f t="shared" si="20"/>
        <v>0.53749999999999987</v>
      </c>
      <c r="Q13" s="74">
        <f t="shared" si="20"/>
        <v>0.55138888888888893</v>
      </c>
      <c r="R13" s="74">
        <f t="shared" si="20"/>
        <v>0.57916666666666683</v>
      </c>
      <c r="S13" s="74">
        <f t="shared" si="20"/>
        <v>0.6208333333333329</v>
      </c>
      <c r="T13" s="74">
        <f t="shared" si="20"/>
        <v>0.66249999999999987</v>
      </c>
      <c r="U13" s="74">
        <f t="shared" si="20"/>
        <v>0.70416666666666683</v>
      </c>
      <c r="V13" s="74">
        <f t="shared" si="20"/>
        <v>0.7458333333333329</v>
      </c>
      <c r="W13" s="74">
        <f t="shared" si="20"/>
        <v>0.78749999999999987</v>
      </c>
      <c r="X13" s="74">
        <f t="shared" si="20"/>
        <v>0.82916666666666583</v>
      </c>
      <c r="Y13" s="103">
        <f t="shared" si="20"/>
        <v>0.8708333333333329</v>
      </c>
      <c r="Z13" s="14"/>
      <c r="AA13" s="14"/>
    </row>
    <row r="14" spans="1:27" s="3" customFormat="1" ht="15" customHeight="1" x14ac:dyDescent="0.3">
      <c r="A14" s="102">
        <v>10</v>
      </c>
      <c r="B14" s="97" t="s">
        <v>68</v>
      </c>
      <c r="C14" s="96"/>
      <c r="D14" s="74">
        <f>D13+"0:01"</f>
        <v>0.24652777777777776</v>
      </c>
      <c r="E14" s="74">
        <f t="shared" si="20"/>
        <v>0.28819444444444431</v>
      </c>
      <c r="F14" s="74">
        <f t="shared" si="20"/>
        <v>0.32986111111111133</v>
      </c>
      <c r="G14" s="74">
        <f t="shared" ref="G14:I14" si="23">G13+"0:01"</f>
        <v>0.34375</v>
      </c>
      <c r="H14" s="74">
        <f t="shared" si="20"/>
        <v>0.37152777777777729</v>
      </c>
      <c r="I14" s="74">
        <f t="shared" si="23"/>
        <v>0.38541666666666669</v>
      </c>
      <c r="J14" s="74">
        <f t="shared" si="20"/>
        <v>0.41319444444444431</v>
      </c>
      <c r="K14" s="74">
        <f t="shared" si="20"/>
        <v>0.42708333333333331</v>
      </c>
      <c r="L14" s="74">
        <f t="shared" si="20"/>
        <v>0.45486111111111133</v>
      </c>
      <c r="M14" s="74">
        <f t="shared" ref="M14:O14" si="24">M13+"0:01"</f>
        <v>0.46875</v>
      </c>
      <c r="N14" s="74">
        <f t="shared" si="20"/>
        <v>0.49652777777777729</v>
      </c>
      <c r="O14" s="74">
        <f t="shared" si="24"/>
        <v>0.51041666666666663</v>
      </c>
      <c r="P14" s="74">
        <f t="shared" si="20"/>
        <v>0.53819444444444431</v>
      </c>
      <c r="Q14" s="74">
        <f t="shared" si="20"/>
        <v>0.55208333333333337</v>
      </c>
      <c r="R14" s="74">
        <f t="shared" si="20"/>
        <v>0.57986111111111127</v>
      </c>
      <c r="S14" s="74">
        <f t="shared" si="20"/>
        <v>0.62152777777777735</v>
      </c>
      <c r="T14" s="74">
        <f t="shared" si="20"/>
        <v>0.66319444444444431</v>
      </c>
      <c r="U14" s="74">
        <f t="shared" si="20"/>
        <v>0.70486111111111127</v>
      </c>
      <c r="V14" s="74">
        <f t="shared" si="20"/>
        <v>0.74652777777777735</v>
      </c>
      <c r="W14" s="74">
        <f t="shared" si="20"/>
        <v>0.78819444444444431</v>
      </c>
      <c r="X14" s="74">
        <f t="shared" si="20"/>
        <v>0.82986111111111027</v>
      </c>
      <c r="Y14" s="103">
        <f t="shared" si="20"/>
        <v>0.87152777777777735</v>
      </c>
      <c r="Z14" s="14"/>
      <c r="AA14" s="14"/>
    </row>
    <row r="15" spans="1:27" s="3" customFormat="1" ht="15" customHeight="1" x14ac:dyDescent="0.3">
      <c r="A15" s="102">
        <v>11</v>
      </c>
      <c r="B15" s="97" t="s">
        <v>44</v>
      </c>
      <c r="C15" s="96"/>
      <c r="D15" s="74">
        <f>D14+"0:03"</f>
        <v>0.24861111111111109</v>
      </c>
      <c r="E15" s="74">
        <f t="shared" ref="E15:Y15" si="25">E14+"0:03"</f>
        <v>0.29027777777777763</v>
      </c>
      <c r="F15" s="74">
        <f t="shared" si="25"/>
        <v>0.33194444444444465</v>
      </c>
      <c r="G15" s="74">
        <f t="shared" ref="G15:I15" si="26">G14+"0:03"</f>
        <v>0.34583333333333333</v>
      </c>
      <c r="H15" s="74">
        <f t="shared" si="25"/>
        <v>0.37361111111111062</v>
      </c>
      <c r="I15" s="74">
        <f t="shared" si="26"/>
        <v>0.38750000000000001</v>
      </c>
      <c r="J15" s="74">
        <f t="shared" si="25"/>
        <v>0.41527777777777763</v>
      </c>
      <c r="K15" s="74">
        <f t="shared" si="25"/>
        <v>0.42916666666666664</v>
      </c>
      <c r="L15" s="74">
        <f t="shared" si="25"/>
        <v>0.45694444444444465</v>
      </c>
      <c r="M15" s="74">
        <f t="shared" ref="M15:O15" si="27">M14+"0:03"</f>
        <v>0.47083333333333333</v>
      </c>
      <c r="N15" s="74">
        <f t="shared" si="25"/>
        <v>0.49861111111111062</v>
      </c>
      <c r="O15" s="74">
        <f t="shared" si="27"/>
        <v>0.51249999999999996</v>
      </c>
      <c r="P15" s="74">
        <f t="shared" si="25"/>
        <v>0.54027777777777763</v>
      </c>
      <c r="Q15" s="74">
        <f t="shared" si="25"/>
        <v>0.5541666666666667</v>
      </c>
      <c r="R15" s="74">
        <f t="shared" si="25"/>
        <v>0.5819444444444446</v>
      </c>
      <c r="S15" s="74">
        <f t="shared" si="25"/>
        <v>0.62361111111111067</v>
      </c>
      <c r="T15" s="74">
        <f t="shared" si="25"/>
        <v>0.66527777777777763</v>
      </c>
      <c r="U15" s="74">
        <f t="shared" si="25"/>
        <v>0.7069444444444446</v>
      </c>
      <c r="V15" s="74">
        <f t="shared" si="25"/>
        <v>0.74861111111111067</v>
      </c>
      <c r="W15" s="74">
        <f t="shared" si="25"/>
        <v>0.79027777777777763</v>
      </c>
      <c r="X15" s="74">
        <f t="shared" si="25"/>
        <v>0.8319444444444436</v>
      </c>
      <c r="Y15" s="103">
        <f t="shared" si="25"/>
        <v>0.87361111111111067</v>
      </c>
      <c r="Z15" s="14"/>
      <c r="AA15" s="14"/>
    </row>
    <row r="16" spans="1:27" s="3" customFormat="1" ht="15" customHeight="1" x14ac:dyDescent="0.3">
      <c r="A16" s="102">
        <v>12</v>
      </c>
      <c r="B16" s="97" t="s">
        <v>97</v>
      </c>
      <c r="C16" s="96" t="s">
        <v>84</v>
      </c>
      <c r="D16" s="74">
        <f t="shared" ref="D16" si="28">D15+"0:02"</f>
        <v>0.24999999999999997</v>
      </c>
      <c r="E16" s="74">
        <f t="shared" ref="E16:Y16" si="29">E15+"0:02"</f>
        <v>0.29166666666666652</v>
      </c>
      <c r="F16" s="74">
        <f t="shared" si="29"/>
        <v>0.33333333333333354</v>
      </c>
      <c r="G16" s="74">
        <f t="shared" ref="G16:I16" si="30">G15+"0:02"</f>
        <v>0.34722222222222221</v>
      </c>
      <c r="H16" s="74">
        <f t="shared" si="29"/>
        <v>0.3749999999999995</v>
      </c>
      <c r="I16" s="74">
        <f t="shared" si="30"/>
        <v>0.3888888888888889</v>
      </c>
      <c r="J16" s="74">
        <f t="shared" si="29"/>
        <v>0.41666666666666652</v>
      </c>
      <c r="K16" s="74">
        <f t="shared" si="29"/>
        <v>0.43055555555555552</v>
      </c>
      <c r="L16" s="74">
        <f t="shared" si="29"/>
        <v>0.45833333333333354</v>
      </c>
      <c r="M16" s="74">
        <f t="shared" ref="M16:O16" si="31">M15+"0:02"</f>
        <v>0.47222222222222221</v>
      </c>
      <c r="N16" s="74">
        <f t="shared" si="29"/>
        <v>0.4999999999999995</v>
      </c>
      <c r="O16" s="74">
        <f t="shared" si="31"/>
        <v>0.51388888888888884</v>
      </c>
      <c r="P16" s="74">
        <f t="shared" si="29"/>
        <v>0.54166666666666652</v>
      </c>
      <c r="Q16" s="74">
        <f t="shared" si="29"/>
        <v>0.55555555555555558</v>
      </c>
      <c r="R16" s="74">
        <f t="shared" si="29"/>
        <v>0.58333333333333348</v>
      </c>
      <c r="S16" s="74">
        <f t="shared" si="29"/>
        <v>0.62499999999999956</v>
      </c>
      <c r="T16" s="74">
        <f t="shared" si="29"/>
        <v>0.66666666666666652</v>
      </c>
      <c r="U16" s="74">
        <f t="shared" si="29"/>
        <v>0.70833333333333348</v>
      </c>
      <c r="V16" s="74">
        <f t="shared" si="29"/>
        <v>0.74999999999999956</v>
      </c>
      <c r="W16" s="74">
        <f t="shared" si="29"/>
        <v>0.79166666666666652</v>
      </c>
      <c r="X16" s="74">
        <f t="shared" si="29"/>
        <v>0.83333333333333248</v>
      </c>
      <c r="Y16" s="103">
        <f t="shared" si="29"/>
        <v>0.87499999999999956</v>
      </c>
      <c r="Z16" s="14"/>
      <c r="AA16" s="14"/>
    </row>
    <row r="17" spans="1:27" s="3" customFormat="1" ht="15" customHeight="1" x14ac:dyDescent="0.3">
      <c r="A17" s="102">
        <v>13</v>
      </c>
      <c r="B17" s="97" t="s">
        <v>97</v>
      </c>
      <c r="C17" s="96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92"/>
      <c r="X17" s="92"/>
      <c r="Y17" s="144"/>
      <c r="Z17" s="14"/>
      <c r="AA17" s="14"/>
    </row>
    <row r="18" spans="1:27" s="3" customFormat="1" ht="15" customHeight="1" x14ac:dyDescent="0.3">
      <c r="A18" s="102">
        <v>14</v>
      </c>
      <c r="B18" s="97" t="s">
        <v>40</v>
      </c>
      <c r="C18" s="96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103"/>
      <c r="Z18" s="14"/>
      <c r="AA18" s="14"/>
    </row>
    <row r="19" spans="1:27" s="3" customFormat="1" ht="15" customHeight="1" x14ac:dyDescent="0.3">
      <c r="A19" s="102">
        <v>15</v>
      </c>
      <c r="B19" s="97" t="s">
        <v>38</v>
      </c>
      <c r="C19" s="96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103"/>
      <c r="Z19" s="14"/>
      <c r="AA19" s="14"/>
    </row>
    <row r="20" spans="1:27" s="3" customFormat="1" ht="15" customHeight="1" x14ac:dyDescent="0.3">
      <c r="A20" s="102">
        <v>16</v>
      </c>
      <c r="B20" s="97" t="s">
        <v>41</v>
      </c>
      <c r="C20" s="96" t="s">
        <v>84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103"/>
      <c r="Z20" s="14"/>
      <c r="AA20" s="14"/>
    </row>
    <row r="21" spans="1:27" s="3" customFormat="1" ht="15" customHeight="1" x14ac:dyDescent="0.3">
      <c r="A21" s="102">
        <v>17</v>
      </c>
      <c r="B21" s="97" t="s">
        <v>97</v>
      </c>
      <c r="C21" s="96" t="s">
        <v>83</v>
      </c>
      <c r="D21" s="74">
        <f t="shared" ref="D21" si="32">D16+"0:02"</f>
        <v>0.25138888888888888</v>
      </c>
      <c r="E21" s="74">
        <f t="shared" ref="E21:V21" si="33">E16+"0:02"</f>
        <v>0.2930555555555554</v>
      </c>
      <c r="F21" s="74">
        <f t="shared" si="33"/>
        <v>0.33472222222222242</v>
      </c>
      <c r="G21" s="74"/>
      <c r="H21" s="74">
        <f t="shared" si="33"/>
        <v>0.37638888888888838</v>
      </c>
      <c r="I21" s="74"/>
      <c r="J21" s="74">
        <f t="shared" si="33"/>
        <v>0.4180555555555554</v>
      </c>
      <c r="K21" s="74"/>
      <c r="L21" s="74">
        <f t="shared" si="33"/>
        <v>0.45972222222222242</v>
      </c>
      <c r="M21" s="74"/>
      <c r="N21" s="74">
        <f t="shared" si="33"/>
        <v>0.50138888888888844</v>
      </c>
      <c r="O21" s="74"/>
      <c r="P21" s="74">
        <f t="shared" si="33"/>
        <v>0.5430555555555554</v>
      </c>
      <c r="Q21" s="74"/>
      <c r="R21" s="74">
        <f t="shared" si="33"/>
        <v>0.58472222222222237</v>
      </c>
      <c r="S21" s="74">
        <f t="shared" si="33"/>
        <v>0.62638888888888844</v>
      </c>
      <c r="T21" s="74">
        <f t="shared" si="33"/>
        <v>0.6680555555555554</v>
      </c>
      <c r="U21" s="74">
        <f t="shared" si="33"/>
        <v>0.70972222222222237</v>
      </c>
      <c r="V21" s="74">
        <f t="shared" si="33"/>
        <v>0.75138888888888844</v>
      </c>
      <c r="W21" s="74">
        <f t="shared" ref="W21:Y21" si="34">W16+"0:02"</f>
        <v>0.7930555555555554</v>
      </c>
      <c r="X21" s="74">
        <f t="shared" si="34"/>
        <v>0.83472222222222137</v>
      </c>
      <c r="Y21" s="103">
        <f t="shared" si="34"/>
        <v>0.87638888888888844</v>
      </c>
      <c r="Z21" s="14"/>
      <c r="AA21" s="14"/>
    </row>
    <row r="22" spans="1:27" s="3" customFormat="1" ht="15" customHeight="1" x14ac:dyDescent="0.3">
      <c r="A22" s="102">
        <v>18</v>
      </c>
      <c r="B22" s="97" t="s">
        <v>20</v>
      </c>
      <c r="C22" s="96"/>
      <c r="D22" s="74">
        <f t="shared" ref="D22" si="35">D21+"0:02"</f>
        <v>0.25277777777777777</v>
      </c>
      <c r="E22" s="74">
        <f t="shared" ref="E22:V22" si="36">E21+"0:02"</f>
        <v>0.29444444444444429</v>
      </c>
      <c r="F22" s="74">
        <f t="shared" si="36"/>
        <v>0.3361111111111113</v>
      </c>
      <c r="G22" s="74"/>
      <c r="H22" s="74">
        <f t="shared" si="36"/>
        <v>0.37777777777777727</v>
      </c>
      <c r="I22" s="74"/>
      <c r="J22" s="74">
        <f t="shared" si="36"/>
        <v>0.41944444444444429</v>
      </c>
      <c r="K22" s="74"/>
      <c r="L22" s="74">
        <f t="shared" si="36"/>
        <v>0.4611111111111113</v>
      </c>
      <c r="M22" s="74"/>
      <c r="N22" s="74">
        <f t="shared" si="36"/>
        <v>0.50277777777777732</v>
      </c>
      <c r="O22" s="74"/>
      <c r="P22" s="74">
        <f t="shared" si="36"/>
        <v>0.54444444444444429</v>
      </c>
      <c r="Q22" s="74"/>
      <c r="R22" s="74">
        <f t="shared" si="36"/>
        <v>0.58611111111111125</v>
      </c>
      <c r="S22" s="74">
        <f t="shared" si="36"/>
        <v>0.62777777777777732</v>
      </c>
      <c r="T22" s="74">
        <f t="shared" si="36"/>
        <v>0.66944444444444429</v>
      </c>
      <c r="U22" s="74">
        <f t="shared" si="36"/>
        <v>0.71111111111111125</v>
      </c>
      <c r="V22" s="74">
        <f t="shared" si="36"/>
        <v>0.75277777777777732</v>
      </c>
      <c r="W22" s="74">
        <f t="shared" ref="W22:Y22" si="37">W21+"0:02"</f>
        <v>0.79444444444444429</v>
      </c>
      <c r="X22" s="74">
        <f t="shared" si="37"/>
        <v>0.83611111111111025</v>
      </c>
      <c r="Y22" s="103">
        <f t="shared" si="37"/>
        <v>0.87777777777777732</v>
      </c>
      <c r="Z22" s="14"/>
      <c r="AA22" s="14"/>
    </row>
    <row r="23" spans="1:27" s="3" customFormat="1" ht="15" customHeight="1" x14ac:dyDescent="0.3">
      <c r="A23" s="102">
        <v>19</v>
      </c>
      <c r="B23" s="97" t="s">
        <v>73</v>
      </c>
      <c r="C23" s="96"/>
      <c r="D23" s="74">
        <f t="shared" ref="D23" si="38">D22+"0:02"</f>
        <v>0.25416666666666665</v>
      </c>
      <c r="E23" s="74">
        <f t="shared" ref="E23:V23" si="39">E22+"0:02"</f>
        <v>0.29583333333333317</v>
      </c>
      <c r="F23" s="74">
        <f t="shared" si="39"/>
        <v>0.33750000000000019</v>
      </c>
      <c r="G23" s="74"/>
      <c r="H23" s="74">
        <f t="shared" si="39"/>
        <v>0.37916666666666615</v>
      </c>
      <c r="I23" s="74"/>
      <c r="J23" s="74">
        <f t="shared" si="39"/>
        <v>0.42083333333333317</v>
      </c>
      <c r="K23" s="74"/>
      <c r="L23" s="74">
        <f t="shared" si="39"/>
        <v>0.46250000000000019</v>
      </c>
      <c r="M23" s="74"/>
      <c r="N23" s="74">
        <f t="shared" si="39"/>
        <v>0.50416666666666621</v>
      </c>
      <c r="O23" s="74"/>
      <c r="P23" s="74">
        <f t="shared" si="39"/>
        <v>0.54583333333333317</v>
      </c>
      <c r="Q23" s="74"/>
      <c r="R23" s="74">
        <f t="shared" si="39"/>
        <v>0.58750000000000013</v>
      </c>
      <c r="S23" s="74">
        <f t="shared" si="39"/>
        <v>0.62916666666666621</v>
      </c>
      <c r="T23" s="74">
        <f t="shared" si="39"/>
        <v>0.67083333333333317</v>
      </c>
      <c r="U23" s="74">
        <f t="shared" si="39"/>
        <v>0.71250000000000013</v>
      </c>
      <c r="V23" s="74">
        <f t="shared" si="39"/>
        <v>0.75416666666666621</v>
      </c>
      <c r="W23" s="74">
        <f t="shared" ref="W23:Y23" si="40">W22+"0:02"</f>
        <v>0.79583333333333317</v>
      </c>
      <c r="X23" s="74">
        <f t="shared" si="40"/>
        <v>0.83749999999999913</v>
      </c>
      <c r="Y23" s="103">
        <f t="shared" si="40"/>
        <v>0.87916666666666621</v>
      </c>
      <c r="Z23" s="14"/>
      <c r="AA23" s="14"/>
    </row>
    <row r="24" spans="1:27" s="3" customFormat="1" ht="15" customHeight="1" x14ac:dyDescent="0.3">
      <c r="A24" s="102">
        <v>20</v>
      </c>
      <c r="B24" s="97" t="s">
        <v>78</v>
      </c>
      <c r="C24" s="96"/>
      <c r="D24" s="74">
        <f t="shared" ref="D24" si="41">D23+"0:02"</f>
        <v>0.25555555555555554</v>
      </c>
      <c r="E24" s="74">
        <f t="shared" ref="E24:V24" si="42">E23+"0:02"</f>
        <v>0.29722222222222205</v>
      </c>
      <c r="F24" s="74">
        <f t="shared" si="42"/>
        <v>0.33888888888888907</v>
      </c>
      <c r="G24" s="74"/>
      <c r="H24" s="74">
        <f t="shared" si="42"/>
        <v>0.38055555555555504</v>
      </c>
      <c r="I24" s="74"/>
      <c r="J24" s="74">
        <f t="shared" si="42"/>
        <v>0.42222222222222205</v>
      </c>
      <c r="K24" s="74"/>
      <c r="L24" s="74">
        <f t="shared" si="42"/>
        <v>0.46388888888888907</v>
      </c>
      <c r="M24" s="74"/>
      <c r="N24" s="74">
        <f t="shared" si="42"/>
        <v>0.50555555555555509</v>
      </c>
      <c r="O24" s="74"/>
      <c r="P24" s="74">
        <f t="shared" si="42"/>
        <v>0.54722222222222205</v>
      </c>
      <c r="Q24" s="74"/>
      <c r="R24" s="74">
        <f t="shared" si="42"/>
        <v>0.58888888888888902</v>
      </c>
      <c r="S24" s="74">
        <f t="shared" si="42"/>
        <v>0.63055555555555509</v>
      </c>
      <c r="T24" s="74">
        <f t="shared" si="42"/>
        <v>0.67222222222222205</v>
      </c>
      <c r="U24" s="74">
        <f t="shared" si="42"/>
        <v>0.71388888888888902</v>
      </c>
      <c r="V24" s="74">
        <f t="shared" si="42"/>
        <v>0.75555555555555509</v>
      </c>
      <c r="W24" s="74">
        <f t="shared" ref="W24:Y24" si="43">W23+"0:02"</f>
        <v>0.79722222222222205</v>
      </c>
      <c r="X24" s="74">
        <f t="shared" si="43"/>
        <v>0.83888888888888802</v>
      </c>
      <c r="Y24" s="103">
        <f t="shared" si="43"/>
        <v>0.88055555555555509</v>
      </c>
      <c r="Z24" s="14"/>
      <c r="AA24" s="14"/>
    </row>
    <row r="25" spans="1:27" s="3" customFormat="1" ht="15" customHeight="1" x14ac:dyDescent="0.3">
      <c r="A25" s="102">
        <v>21</v>
      </c>
      <c r="B25" s="97" t="s">
        <v>82</v>
      </c>
      <c r="C25" s="96"/>
      <c r="D25" s="74">
        <f>D24+"0:01"</f>
        <v>0.25624999999999998</v>
      </c>
      <c r="E25" s="74">
        <f t="shared" ref="E25:V26" si="44">E24+"0:01"</f>
        <v>0.2979166666666665</v>
      </c>
      <c r="F25" s="74">
        <f t="shared" si="44"/>
        <v>0.33958333333333351</v>
      </c>
      <c r="G25" s="74"/>
      <c r="H25" s="74">
        <f t="shared" si="44"/>
        <v>0.38124999999999948</v>
      </c>
      <c r="I25" s="74"/>
      <c r="J25" s="74">
        <f t="shared" si="44"/>
        <v>0.4229166666666665</v>
      </c>
      <c r="K25" s="74"/>
      <c r="L25" s="74">
        <f t="shared" si="44"/>
        <v>0.46458333333333351</v>
      </c>
      <c r="M25" s="74"/>
      <c r="N25" s="74">
        <f t="shared" si="44"/>
        <v>0.50624999999999953</v>
      </c>
      <c r="O25" s="74"/>
      <c r="P25" s="74">
        <f t="shared" si="44"/>
        <v>0.5479166666666665</v>
      </c>
      <c r="Q25" s="74"/>
      <c r="R25" s="74">
        <f t="shared" si="44"/>
        <v>0.58958333333333346</v>
      </c>
      <c r="S25" s="74">
        <f t="shared" si="44"/>
        <v>0.63124999999999953</v>
      </c>
      <c r="T25" s="74">
        <f t="shared" si="44"/>
        <v>0.6729166666666665</v>
      </c>
      <c r="U25" s="74">
        <f t="shared" si="44"/>
        <v>0.71458333333333346</v>
      </c>
      <c r="V25" s="74">
        <f t="shared" si="44"/>
        <v>0.75624999999999953</v>
      </c>
      <c r="W25" s="74">
        <f t="shared" ref="W25:Y25" si="45">W24+"0:01"</f>
        <v>0.7979166666666665</v>
      </c>
      <c r="X25" s="74">
        <f t="shared" si="45"/>
        <v>0.83958333333333246</v>
      </c>
      <c r="Y25" s="103">
        <f t="shared" si="45"/>
        <v>0.88124999999999953</v>
      </c>
      <c r="Z25" s="14"/>
      <c r="AA25" s="14"/>
    </row>
    <row r="26" spans="1:27" s="3" customFormat="1" ht="15" customHeight="1" x14ac:dyDescent="0.3">
      <c r="A26" s="102">
        <v>22</v>
      </c>
      <c r="B26" s="97" t="s">
        <v>79</v>
      </c>
      <c r="C26" s="96"/>
      <c r="D26" s="74">
        <f>D25+"0:01"</f>
        <v>0.25694444444444442</v>
      </c>
      <c r="E26" s="74">
        <f t="shared" si="44"/>
        <v>0.29861111111111094</v>
      </c>
      <c r="F26" s="74">
        <f t="shared" si="44"/>
        <v>0.34027777777777796</v>
      </c>
      <c r="G26" s="74"/>
      <c r="H26" s="74">
        <f t="shared" si="44"/>
        <v>0.38194444444444392</v>
      </c>
      <c r="I26" s="74"/>
      <c r="J26" s="74">
        <f t="shared" si="44"/>
        <v>0.42361111111111094</v>
      </c>
      <c r="K26" s="74"/>
      <c r="L26" s="74">
        <f t="shared" si="44"/>
        <v>0.46527777777777796</v>
      </c>
      <c r="M26" s="74"/>
      <c r="N26" s="74">
        <f t="shared" si="44"/>
        <v>0.50694444444444398</v>
      </c>
      <c r="O26" s="74"/>
      <c r="P26" s="74">
        <f t="shared" si="44"/>
        <v>0.54861111111111094</v>
      </c>
      <c r="Q26" s="74"/>
      <c r="R26" s="74">
        <f t="shared" si="44"/>
        <v>0.5902777777777779</v>
      </c>
      <c r="S26" s="74">
        <f t="shared" si="44"/>
        <v>0.63194444444444398</v>
      </c>
      <c r="T26" s="74">
        <f t="shared" si="44"/>
        <v>0.67361111111111094</v>
      </c>
      <c r="U26" s="74">
        <f t="shared" si="44"/>
        <v>0.7152777777777779</v>
      </c>
      <c r="V26" s="74">
        <f t="shared" si="44"/>
        <v>0.75694444444444398</v>
      </c>
      <c r="W26" s="74">
        <f t="shared" ref="W26:Y26" si="46">W25+"0:01"</f>
        <v>0.79861111111111094</v>
      </c>
      <c r="X26" s="74">
        <f t="shared" si="46"/>
        <v>0.8402777777777769</v>
      </c>
      <c r="Y26" s="103">
        <f t="shared" si="46"/>
        <v>0.88194444444444398</v>
      </c>
      <c r="Z26" s="14"/>
      <c r="AA26" s="14"/>
    </row>
    <row r="27" spans="1:27" s="3" customFormat="1" ht="15" customHeight="1" x14ac:dyDescent="0.3">
      <c r="A27" s="102">
        <v>23</v>
      </c>
      <c r="B27" s="97" t="s">
        <v>75</v>
      </c>
      <c r="C27" s="96"/>
      <c r="D27" s="74">
        <f t="shared" ref="D27" si="47">D26+"0:02"</f>
        <v>0.2583333333333333</v>
      </c>
      <c r="E27" s="74">
        <f t="shared" ref="E27:V27" si="48">E26+"0:02"</f>
        <v>0.29999999999999982</v>
      </c>
      <c r="F27" s="74">
        <f t="shared" si="48"/>
        <v>0.34166666666666684</v>
      </c>
      <c r="G27" s="74"/>
      <c r="H27" s="74">
        <f t="shared" si="48"/>
        <v>0.3833333333333328</v>
      </c>
      <c r="I27" s="74"/>
      <c r="J27" s="74">
        <f t="shared" si="48"/>
        <v>0.42499999999999982</v>
      </c>
      <c r="K27" s="74"/>
      <c r="L27" s="74">
        <f t="shared" si="48"/>
        <v>0.46666666666666684</v>
      </c>
      <c r="M27" s="74"/>
      <c r="N27" s="74">
        <f t="shared" si="48"/>
        <v>0.50833333333333286</v>
      </c>
      <c r="O27" s="74"/>
      <c r="P27" s="74">
        <f t="shared" si="48"/>
        <v>0.54999999999999982</v>
      </c>
      <c r="Q27" s="74"/>
      <c r="R27" s="74">
        <f t="shared" si="48"/>
        <v>0.59166666666666679</v>
      </c>
      <c r="S27" s="74">
        <f t="shared" si="48"/>
        <v>0.63333333333333286</v>
      </c>
      <c r="T27" s="74">
        <f t="shared" si="48"/>
        <v>0.67499999999999982</v>
      </c>
      <c r="U27" s="74">
        <f t="shared" si="48"/>
        <v>0.71666666666666679</v>
      </c>
      <c r="V27" s="74">
        <f t="shared" si="48"/>
        <v>0.75833333333333286</v>
      </c>
      <c r="W27" s="74">
        <f t="shared" ref="W27:Y27" si="49">W26+"0:02"</f>
        <v>0.79999999999999982</v>
      </c>
      <c r="X27" s="74">
        <f t="shared" si="49"/>
        <v>0.84166666666666579</v>
      </c>
      <c r="Y27" s="103">
        <f t="shared" si="49"/>
        <v>0.88333333333333286</v>
      </c>
      <c r="Z27" s="14"/>
      <c r="AA27" s="14"/>
    </row>
    <row r="28" spans="1:27" s="3" customFormat="1" ht="15" customHeight="1" thickBot="1" x14ac:dyDescent="0.35">
      <c r="A28" s="104">
        <v>24</v>
      </c>
      <c r="B28" s="105" t="s">
        <v>77</v>
      </c>
      <c r="C28" s="106" t="s">
        <v>84</v>
      </c>
      <c r="D28" s="107">
        <f t="shared" ref="D28" si="50">D27+"0:02"</f>
        <v>0.25972222222222219</v>
      </c>
      <c r="E28" s="107">
        <f t="shared" ref="E28:V28" si="51">E27+"0:02"</f>
        <v>0.30138888888888871</v>
      </c>
      <c r="F28" s="107">
        <f t="shared" si="51"/>
        <v>0.34305555555555572</v>
      </c>
      <c r="G28" s="107"/>
      <c r="H28" s="107">
        <f t="shared" si="51"/>
        <v>0.38472222222222169</v>
      </c>
      <c r="I28" s="107"/>
      <c r="J28" s="107">
        <f t="shared" si="51"/>
        <v>0.42638888888888871</v>
      </c>
      <c r="K28" s="107"/>
      <c r="L28" s="107">
        <f t="shared" si="51"/>
        <v>0.46805555555555572</v>
      </c>
      <c r="M28" s="107"/>
      <c r="N28" s="107">
        <f t="shared" si="51"/>
        <v>0.50972222222222174</v>
      </c>
      <c r="O28" s="107"/>
      <c r="P28" s="107">
        <f t="shared" si="51"/>
        <v>0.55138888888888871</v>
      </c>
      <c r="Q28" s="107"/>
      <c r="R28" s="107">
        <f t="shared" si="51"/>
        <v>0.59305555555555567</v>
      </c>
      <c r="S28" s="107">
        <f t="shared" si="51"/>
        <v>0.63472222222222174</v>
      </c>
      <c r="T28" s="107">
        <f t="shared" si="51"/>
        <v>0.67638888888888871</v>
      </c>
      <c r="U28" s="107">
        <f t="shared" si="51"/>
        <v>0.71805555555555567</v>
      </c>
      <c r="V28" s="107">
        <f t="shared" si="51"/>
        <v>0.75972222222222174</v>
      </c>
      <c r="W28" s="107">
        <f t="shared" ref="W28:Y28" si="52">W27+"0:02"</f>
        <v>0.80138888888888871</v>
      </c>
      <c r="X28" s="107">
        <f t="shared" si="52"/>
        <v>0.84305555555555467</v>
      </c>
      <c r="Y28" s="108">
        <f t="shared" si="52"/>
        <v>0.88472222222222174</v>
      </c>
      <c r="Z28" s="14"/>
      <c r="AA28" s="14"/>
    </row>
    <row r="29" spans="1:27" s="29" customFormat="1" ht="13.8" thickBot="1" x14ac:dyDescent="0.35">
      <c r="B29" s="13" t="s">
        <v>2</v>
      </c>
      <c r="C29" s="35"/>
      <c r="D29" s="94">
        <v>11.4</v>
      </c>
      <c r="E29" s="94">
        <v>11.4</v>
      </c>
      <c r="F29" s="94">
        <v>11.4</v>
      </c>
      <c r="G29" s="94">
        <v>7</v>
      </c>
      <c r="H29" s="94">
        <v>11.4</v>
      </c>
      <c r="I29" s="94">
        <v>7</v>
      </c>
      <c r="J29" s="94">
        <v>11.4</v>
      </c>
      <c r="K29" s="94">
        <v>7</v>
      </c>
      <c r="L29" s="94">
        <v>11.4</v>
      </c>
      <c r="M29" s="94">
        <v>7</v>
      </c>
      <c r="N29" s="94">
        <v>11.4</v>
      </c>
      <c r="O29" s="94">
        <v>7</v>
      </c>
      <c r="P29" s="94">
        <v>11.4</v>
      </c>
      <c r="Q29" s="94">
        <v>7</v>
      </c>
      <c r="R29" s="94">
        <v>11.4</v>
      </c>
      <c r="S29" s="94">
        <v>11.4</v>
      </c>
      <c r="T29" s="94">
        <v>11.4</v>
      </c>
      <c r="U29" s="94">
        <v>11.4</v>
      </c>
      <c r="V29" s="94">
        <v>11.4</v>
      </c>
      <c r="W29" s="94">
        <v>11.4</v>
      </c>
      <c r="X29" s="94">
        <v>11.4</v>
      </c>
      <c r="Y29" s="94">
        <v>11.4</v>
      </c>
      <c r="Z29" s="37">
        <f>SUM(D29:Y29)</f>
        <v>224.40000000000006</v>
      </c>
    </row>
    <row r="31" spans="1:27" ht="137.4" customHeight="1" x14ac:dyDescent="0.3"/>
    <row r="32" spans="1:27" ht="19.2" customHeight="1" x14ac:dyDescent="0.3"/>
    <row r="33" spans="1:28" s="3" customFormat="1" ht="18" customHeight="1" x14ac:dyDescent="0.3">
      <c r="A33" s="2" t="s">
        <v>13</v>
      </c>
      <c r="B33" s="2"/>
      <c r="C33" s="14"/>
      <c r="D33" s="2" t="s">
        <v>104</v>
      </c>
    </row>
    <row r="34" spans="1:28" s="3" customFormat="1" ht="18" customHeight="1" x14ac:dyDescent="0.3">
      <c r="A34" s="2"/>
      <c r="B34" s="2"/>
      <c r="C34" s="14"/>
      <c r="D34" s="2"/>
    </row>
    <row r="35" spans="1:28" s="18" customFormat="1" ht="15" customHeight="1" thickBot="1" x14ac:dyDescent="0.35">
      <c r="A35" s="8"/>
      <c r="B35" s="66" t="s">
        <v>15</v>
      </c>
      <c r="C35" s="33"/>
      <c r="F35" s="18" t="s">
        <v>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8" s="18" customFormat="1" ht="15" customHeight="1" x14ac:dyDescent="0.3">
      <c r="A36" s="135" t="s">
        <v>1</v>
      </c>
      <c r="B36" s="110"/>
      <c r="C36" s="136"/>
      <c r="D36" s="36">
        <v>2</v>
      </c>
      <c r="E36" s="36">
        <f>D36+2</f>
        <v>4</v>
      </c>
      <c r="F36" s="36">
        <f t="shared" ref="F36:AB36" si="53">E36+2</f>
        <v>6</v>
      </c>
      <c r="G36" s="36">
        <f t="shared" si="53"/>
        <v>8</v>
      </c>
      <c r="H36" s="36">
        <f t="shared" si="53"/>
        <v>10</v>
      </c>
      <c r="I36" s="36">
        <f t="shared" si="53"/>
        <v>12</v>
      </c>
      <c r="J36" s="36">
        <f t="shared" si="53"/>
        <v>14</v>
      </c>
      <c r="K36" s="36">
        <f t="shared" si="53"/>
        <v>16</v>
      </c>
      <c r="L36" s="36">
        <f t="shared" si="53"/>
        <v>18</v>
      </c>
      <c r="M36" s="36">
        <f t="shared" si="53"/>
        <v>20</v>
      </c>
      <c r="N36" s="36">
        <f t="shared" si="53"/>
        <v>22</v>
      </c>
      <c r="O36" s="36">
        <f t="shared" si="53"/>
        <v>24</v>
      </c>
      <c r="P36" s="36">
        <f t="shared" si="53"/>
        <v>26</v>
      </c>
      <c r="Q36" s="36">
        <f t="shared" si="53"/>
        <v>28</v>
      </c>
      <c r="R36" s="36">
        <f t="shared" si="53"/>
        <v>30</v>
      </c>
      <c r="S36" s="36">
        <f t="shared" si="53"/>
        <v>32</v>
      </c>
      <c r="T36" s="36">
        <f t="shared" si="53"/>
        <v>34</v>
      </c>
      <c r="U36" s="36">
        <f t="shared" si="53"/>
        <v>36</v>
      </c>
      <c r="V36" s="36">
        <f t="shared" si="53"/>
        <v>38</v>
      </c>
      <c r="W36" s="36">
        <f t="shared" si="53"/>
        <v>40</v>
      </c>
      <c r="X36" s="36">
        <f t="shared" si="53"/>
        <v>42</v>
      </c>
      <c r="Y36" s="36">
        <f t="shared" si="53"/>
        <v>44</v>
      </c>
      <c r="Z36" s="36">
        <f t="shared" si="53"/>
        <v>46</v>
      </c>
      <c r="AA36" s="36">
        <f t="shared" si="53"/>
        <v>48</v>
      </c>
      <c r="AB36" s="137">
        <f t="shared" si="53"/>
        <v>50</v>
      </c>
    </row>
    <row r="37" spans="1:28" s="18" customFormat="1" ht="15" customHeight="1" x14ac:dyDescent="0.3">
      <c r="A37" s="114">
        <v>24</v>
      </c>
      <c r="B37" s="95" t="s">
        <v>77</v>
      </c>
      <c r="C37" s="60" t="s">
        <v>83</v>
      </c>
      <c r="D37" s="81">
        <v>0.22361111111111109</v>
      </c>
      <c r="E37" s="81">
        <v>0.265277777777778</v>
      </c>
      <c r="F37" s="81">
        <v>0.30694444444444402</v>
      </c>
      <c r="G37" s="81"/>
      <c r="H37" s="81">
        <v>0.34861111111111098</v>
      </c>
      <c r="I37" s="81"/>
      <c r="J37" s="81">
        <v>0.390277777777778</v>
      </c>
      <c r="K37" s="81"/>
      <c r="L37" s="81">
        <v>0.43194444444444402</v>
      </c>
      <c r="M37" s="81"/>
      <c r="N37" s="81">
        <v>0.47361111111111098</v>
      </c>
      <c r="O37" s="81"/>
      <c r="P37" s="81">
        <v>0.51527777777777795</v>
      </c>
      <c r="Q37" s="81"/>
      <c r="R37" s="81">
        <v>0.55694444444444402</v>
      </c>
      <c r="S37" s="81">
        <v>0.59861111111111098</v>
      </c>
      <c r="T37" s="81">
        <v>0.64027777777777795</v>
      </c>
      <c r="U37" s="81">
        <v>0.68194444444444402</v>
      </c>
      <c r="V37" s="81">
        <v>0.72361111111111098</v>
      </c>
      <c r="W37" s="81"/>
      <c r="X37" s="81">
        <v>0.76527777777777795</v>
      </c>
      <c r="Y37" s="81"/>
      <c r="Z37" s="81">
        <v>0.80694444444444402</v>
      </c>
      <c r="AA37" s="81">
        <v>0.84861111111111098</v>
      </c>
      <c r="AB37" s="138">
        <v>0.89027777777777795</v>
      </c>
    </row>
    <row r="38" spans="1:28" s="18" customFormat="1" ht="15" customHeight="1" x14ac:dyDescent="0.3">
      <c r="A38" s="114">
        <v>23</v>
      </c>
      <c r="B38" s="95" t="s">
        <v>76</v>
      </c>
      <c r="C38" s="60"/>
      <c r="D38" s="74">
        <f t="shared" ref="D38:AA43" si="54">D37+"0:01"</f>
        <v>0.22430555555555554</v>
      </c>
      <c r="E38" s="74">
        <f t="shared" si="54"/>
        <v>0.26597222222222244</v>
      </c>
      <c r="F38" s="74">
        <f t="shared" si="54"/>
        <v>0.30763888888888846</v>
      </c>
      <c r="G38" s="74"/>
      <c r="H38" s="74">
        <f t="shared" si="54"/>
        <v>0.34930555555555542</v>
      </c>
      <c r="I38" s="74"/>
      <c r="J38" s="74">
        <f t="shared" si="54"/>
        <v>0.39097222222222244</v>
      </c>
      <c r="K38" s="74"/>
      <c r="L38" s="74">
        <f t="shared" si="54"/>
        <v>0.43263888888888846</v>
      </c>
      <c r="M38" s="74"/>
      <c r="N38" s="74">
        <f t="shared" si="54"/>
        <v>0.47430555555555542</v>
      </c>
      <c r="O38" s="74"/>
      <c r="P38" s="74">
        <f t="shared" si="54"/>
        <v>0.51597222222222239</v>
      </c>
      <c r="Q38" s="74"/>
      <c r="R38" s="74">
        <f t="shared" si="54"/>
        <v>0.55763888888888846</v>
      </c>
      <c r="S38" s="74">
        <f t="shared" si="54"/>
        <v>0.59930555555555542</v>
      </c>
      <c r="T38" s="74">
        <f t="shared" si="54"/>
        <v>0.64097222222222239</v>
      </c>
      <c r="U38" s="74">
        <f t="shared" si="54"/>
        <v>0.68263888888888846</v>
      </c>
      <c r="V38" s="74">
        <f t="shared" si="54"/>
        <v>0.72430555555555542</v>
      </c>
      <c r="W38" s="74"/>
      <c r="X38" s="74">
        <f t="shared" si="54"/>
        <v>0.76597222222222239</v>
      </c>
      <c r="Y38" s="74"/>
      <c r="Z38" s="74">
        <f t="shared" si="54"/>
        <v>0.80763888888888846</v>
      </c>
      <c r="AA38" s="74">
        <f t="shared" si="54"/>
        <v>0.84930555555555542</v>
      </c>
      <c r="AB38" s="103">
        <f t="shared" ref="E38:AB43" si="55">AB37+"0:01"</f>
        <v>0.89097222222222239</v>
      </c>
    </row>
    <row r="39" spans="1:28" s="18" customFormat="1" ht="15" customHeight="1" x14ac:dyDescent="0.3">
      <c r="A39" s="114">
        <v>22</v>
      </c>
      <c r="B39" s="95" t="s">
        <v>75</v>
      </c>
      <c r="C39" s="60"/>
      <c r="D39" s="74">
        <f t="shared" si="54"/>
        <v>0.22499999999999998</v>
      </c>
      <c r="E39" s="74">
        <f t="shared" si="55"/>
        <v>0.26666666666666689</v>
      </c>
      <c r="F39" s="74">
        <f t="shared" si="55"/>
        <v>0.3083333333333329</v>
      </c>
      <c r="G39" s="74"/>
      <c r="H39" s="74">
        <f t="shared" si="55"/>
        <v>0.34999999999999987</v>
      </c>
      <c r="I39" s="74"/>
      <c r="J39" s="74">
        <f t="shared" si="55"/>
        <v>0.39166666666666689</v>
      </c>
      <c r="K39" s="74"/>
      <c r="L39" s="74">
        <f t="shared" si="55"/>
        <v>0.4333333333333329</v>
      </c>
      <c r="M39" s="74"/>
      <c r="N39" s="74">
        <f t="shared" si="55"/>
        <v>0.47499999999999987</v>
      </c>
      <c r="O39" s="74"/>
      <c r="P39" s="74">
        <f t="shared" si="55"/>
        <v>0.51666666666666683</v>
      </c>
      <c r="Q39" s="74"/>
      <c r="R39" s="74">
        <f t="shared" si="55"/>
        <v>0.5583333333333329</v>
      </c>
      <c r="S39" s="74">
        <f t="shared" si="55"/>
        <v>0.59999999999999987</v>
      </c>
      <c r="T39" s="74">
        <f t="shared" si="55"/>
        <v>0.64166666666666683</v>
      </c>
      <c r="U39" s="74">
        <f t="shared" si="55"/>
        <v>0.6833333333333329</v>
      </c>
      <c r="V39" s="74">
        <f t="shared" si="55"/>
        <v>0.72499999999999987</v>
      </c>
      <c r="W39" s="74"/>
      <c r="X39" s="74">
        <f t="shared" si="55"/>
        <v>0.76666666666666683</v>
      </c>
      <c r="Y39" s="74"/>
      <c r="Z39" s="74">
        <f t="shared" si="55"/>
        <v>0.8083333333333329</v>
      </c>
      <c r="AA39" s="74">
        <f t="shared" si="55"/>
        <v>0.84999999999999987</v>
      </c>
      <c r="AB39" s="103">
        <f t="shared" si="55"/>
        <v>0.89166666666666683</v>
      </c>
    </row>
    <row r="40" spans="1:28" s="18" customFormat="1" ht="15" customHeight="1" x14ac:dyDescent="0.3">
      <c r="A40" s="114">
        <v>21</v>
      </c>
      <c r="B40" s="95" t="s">
        <v>72</v>
      </c>
      <c r="C40" s="60"/>
      <c r="D40" s="74">
        <f t="shared" si="54"/>
        <v>0.22569444444444442</v>
      </c>
      <c r="E40" s="74">
        <f t="shared" si="55"/>
        <v>0.26736111111111133</v>
      </c>
      <c r="F40" s="74">
        <f t="shared" si="55"/>
        <v>0.30902777777777735</v>
      </c>
      <c r="G40" s="74"/>
      <c r="H40" s="74">
        <f t="shared" si="55"/>
        <v>0.35069444444444431</v>
      </c>
      <c r="I40" s="74"/>
      <c r="J40" s="74">
        <f t="shared" si="55"/>
        <v>0.39236111111111133</v>
      </c>
      <c r="K40" s="74"/>
      <c r="L40" s="74">
        <f t="shared" si="55"/>
        <v>0.43402777777777735</v>
      </c>
      <c r="M40" s="74"/>
      <c r="N40" s="74">
        <f t="shared" si="55"/>
        <v>0.47569444444444431</v>
      </c>
      <c r="O40" s="74"/>
      <c r="P40" s="74">
        <f t="shared" si="55"/>
        <v>0.51736111111111127</v>
      </c>
      <c r="Q40" s="74"/>
      <c r="R40" s="74">
        <f t="shared" si="55"/>
        <v>0.55902777777777735</v>
      </c>
      <c r="S40" s="74">
        <f t="shared" si="55"/>
        <v>0.60069444444444431</v>
      </c>
      <c r="T40" s="74">
        <f t="shared" si="55"/>
        <v>0.64236111111111127</v>
      </c>
      <c r="U40" s="74">
        <f t="shared" si="55"/>
        <v>0.68402777777777735</v>
      </c>
      <c r="V40" s="74">
        <f t="shared" si="55"/>
        <v>0.72569444444444431</v>
      </c>
      <c r="W40" s="74"/>
      <c r="X40" s="74">
        <f t="shared" si="55"/>
        <v>0.76736111111111127</v>
      </c>
      <c r="Y40" s="74"/>
      <c r="Z40" s="74">
        <f t="shared" si="55"/>
        <v>0.80902777777777735</v>
      </c>
      <c r="AA40" s="74">
        <f t="shared" si="55"/>
        <v>0.85069444444444431</v>
      </c>
      <c r="AB40" s="103">
        <f t="shared" si="55"/>
        <v>0.89236111111111127</v>
      </c>
    </row>
    <row r="41" spans="1:28" s="18" customFormat="1" ht="15" customHeight="1" x14ac:dyDescent="0.3">
      <c r="A41" s="114">
        <v>20</v>
      </c>
      <c r="B41" s="95" t="s">
        <v>79</v>
      </c>
      <c r="C41" s="60"/>
      <c r="D41" s="74">
        <f t="shared" si="54"/>
        <v>0.22638888888888886</v>
      </c>
      <c r="E41" s="74">
        <f t="shared" si="55"/>
        <v>0.26805555555555577</v>
      </c>
      <c r="F41" s="74">
        <f t="shared" si="55"/>
        <v>0.30972222222222179</v>
      </c>
      <c r="G41" s="74"/>
      <c r="H41" s="74">
        <f t="shared" si="55"/>
        <v>0.35138888888888875</v>
      </c>
      <c r="I41" s="74"/>
      <c r="J41" s="74">
        <f t="shared" si="55"/>
        <v>0.39305555555555577</v>
      </c>
      <c r="K41" s="74"/>
      <c r="L41" s="74">
        <f t="shared" si="55"/>
        <v>0.43472222222222179</v>
      </c>
      <c r="M41" s="74"/>
      <c r="N41" s="74">
        <f t="shared" si="55"/>
        <v>0.47638888888888875</v>
      </c>
      <c r="O41" s="74"/>
      <c r="P41" s="74">
        <f t="shared" si="55"/>
        <v>0.51805555555555571</v>
      </c>
      <c r="Q41" s="74"/>
      <c r="R41" s="74">
        <f t="shared" si="55"/>
        <v>0.55972222222222179</v>
      </c>
      <c r="S41" s="74">
        <f t="shared" si="55"/>
        <v>0.60138888888888875</v>
      </c>
      <c r="T41" s="74">
        <f t="shared" si="55"/>
        <v>0.64305555555555571</v>
      </c>
      <c r="U41" s="74">
        <f t="shared" si="55"/>
        <v>0.68472222222222179</v>
      </c>
      <c r="V41" s="74">
        <f t="shared" si="55"/>
        <v>0.72638888888888875</v>
      </c>
      <c r="W41" s="74"/>
      <c r="X41" s="74">
        <f t="shared" si="55"/>
        <v>0.76805555555555571</v>
      </c>
      <c r="Y41" s="74"/>
      <c r="Z41" s="74">
        <f t="shared" si="55"/>
        <v>0.80972222222222179</v>
      </c>
      <c r="AA41" s="74">
        <f t="shared" si="55"/>
        <v>0.85138888888888875</v>
      </c>
      <c r="AB41" s="103">
        <f t="shared" si="55"/>
        <v>0.89305555555555571</v>
      </c>
    </row>
    <row r="42" spans="1:28" s="18" customFormat="1" ht="15" customHeight="1" x14ac:dyDescent="0.3">
      <c r="A42" s="114">
        <v>19</v>
      </c>
      <c r="B42" s="95" t="s">
        <v>80</v>
      </c>
      <c r="C42" s="60"/>
      <c r="D42" s="74">
        <f t="shared" si="54"/>
        <v>0.2270833333333333</v>
      </c>
      <c r="E42" s="74">
        <f t="shared" si="55"/>
        <v>0.26875000000000021</v>
      </c>
      <c r="F42" s="74">
        <f t="shared" si="55"/>
        <v>0.31041666666666623</v>
      </c>
      <c r="G42" s="74"/>
      <c r="H42" s="74">
        <f t="shared" si="55"/>
        <v>0.35208333333333319</v>
      </c>
      <c r="I42" s="74"/>
      <c r="J42" s="74">
        <f t="shared" si="55"/>
        <v>0.39375000000000021</v>
      </c>
      <c r="K42" s="74"/>
      <c r="L42" s="74">
        <f t="shared" si="55"/>
        <v>0.43541666666666623</v>
      </c>
      <c r="M42" s="74"/>
      <c r="N42" s="74">
        <f t="shared" si="55"/>
        <v>0.47708333333333319</v>
      </c>
      <c r="O42" s="74"/>
      <c r="P42" s="74">
        <f t="shared" si="55"/>
        <v>0.51875000000000016</v>
      </c>
      <c r="Q42" s="74"/>
      <c r="R42" s="74">
        <f t="shared" si="55"/>
        <v>0.56041666666666623</v>
      </c>
      <c r="S42" s="74">
        <f t="shared" si="55"/>
        <v>0.60208333333333319</v>
      </c>
      <c r="T42" s="74">
        <f t="shared" si="55"/>
        <v>0.64375000000000016</v>
      </c>
      <c r="U42" s="74">
        <f t="shared" si="55"/>
        <v>0.68541666666666623</v>
      </c>
      <c r="V42" s="74">
        <f t="shared" si="55"/>
        <v>0.72708333333333319</v>
      </c>
      <c r="W42" s="74"/>
      <c r="X42" s="74">
        <f t="shared" si="55"/>
        <v>0.76875000000000016</v>
      </c>
      <c r="Y42" s="74"/>
      <c r="Z42" s="74">
        <f t="shared" si="55"/>
        <v>0.81041666666666623</v>
      </c>
      <c r="AA42" s="74">
        <f t="shared" si="55"/>
        <v>0.85208333333333319</v>
      </c>
      <c r="AB42" s="103">
        <f t="shared" si="55"/>
        <v>0.89375000000000016</v>
      </c>
    </row>
    <row r="43" spans="1:28" s="18" customFormat="1" ht="15" customHeight="1" x14ac:dyDescent="0.3">
      <c r="A43" s="114">
        <v>18</v>
      </c>
      <c r="B43" s="95" t="s">
        <v>78</v>
      </c>
      <c r="C43" s="60"/>
      <c r="D43" s="74">
        <f t="shared" si="54"/>
        <v>0.22777777777777775</v>
      </c>
      <c r="E43" s="74">
        <f t="shared" si="55"/>
        <v>0.26944444444444465</v>
      </c>
      <c r="F43" s="74">
        <f t="shared" si="55"/>
        <v>0.31111111111111067</v>
      </c>
      <c r="G43" s="74"/>
      <c r="H43" s="74">
        <f t="shared" si="55"/>
        <v>0.35277777777777763</v>
      </c>
      <c r="I43" s="74"/>
      <c r="J43" s="74">
        <f t="shared" si="55"/>
        <v>0.39444444444444465</v>
      </c>
      <c r="K43" s="74"/>
      <c r="L43" s="74">
        <f t="shared" si="55"/>
        <v>0.43611111111111067</v>
      </c>
      <c r="M43" s="74"/>
      <c r="N43" s="74">
        <f t="shared" si="55"/>
        <v>0.47777777777777763</v>
      </c>
      <c r="O43" s="74"/>
      <c r="P43" s="74">
        <f t="shared" si="55"/>
        <v>0.5194444444444446</v>
      </c>
      <c r="Q43" s="74"/>
      <c r="R43" s="74">
        <f t="shared" si="55"/>
        <v>0.56111111111111067</v>
      </c>
      <c r="S43" s="74">
        <f t="shared" si="55"/>
        <v>0.60277777777777763</v>
      </c>
      <c r="T43" s="74">
        <f t="shared" si="55"/>
        <v>0.6444444444444446</v>
      </c>
      <c r="U43" s="74">
        <f t="shared" si="55"/>
        <v>0.68611111111111067</v>
      </c>
      <c r="V43" s="74">
        <f t="shared" si="55"/>
        <v>0.72777777777777763</v>
      </c>
      <c r="W43" s="74"/>
      <c r="X43" s="74">
        <f t="shared" si="55"/>
        <v>0.7694444444444446</v>
      </c>
      <c r="Y43" s="74"/>
      <c r="Z43" s="74">
        <f t="shared" si="55"/>
        <v>0.81111111111111067</v>
      </c>
      <c r="AA43" s="74">
        <f t="shared" si="55"/>
        <v>0.85277777777777763</v>
      </c>
      <c r="AB43" s="103">
        <f t="shared" si="55"/>
        <v>0.8944444444444446</v>
      </c>
    </row>
    <row r="44" spans="1:28" s="18" customFormat="1" ht="15" customHeight="1" x14ac:dyDescent="0.3">
      <c r="A44" s="114">
        <v>17</v>
      </c>
      <c r="B44" s="95" t="s">
        <v>73</v>
      </c>
      <c r="C44" s="60"/>
      <c r="D44" s="74">
        <f>D43+"0:02"</f>
        <v>0.22916666666666663</v>
      </c>
      <c r="E44" s="74">
        <f t="shared" ref="E44:AB44" si="56">E43+"0:02"</f>
        <v>0.27083333333333354</v>
      </c>
      <c r="F44" s="74">
        <f t="shared" si="56"/>
        <v>0.31249999999999956</v>
      </c>
      <c r="G44" s="74"/>
      <c r="H44" s="74">
        <f t="shared" si="56"/>
        <v>0.35416666666666652</v>
      </c>
      <c r="I44" s="74"/>
      <c r="J44" s="74">
        <f t="shared" si="56"/>
        <v>0.39583333333333354</v>
      </c>
      <c r="K44" s="74"/>
      <c r="L44" s="74">
        <f t="shared" si="56"/>
        <v>0.43749999999999956</v>
      </c>
      <c r="M44" s="74"/>
      <c r="N44" s="74">
        <f t="shared" si="56"/>
        <v>0.47916666666666652</v>
      </c>
      <c r="O44" s="74"/>
      <c r="P44" s="74">
        <f t="shared" si="56"/>
        <v>0.52083333333333348</v>
      </c>
      <c r="Q44" s="74"/>
      <c r="R44" s="74">
        <f t="shared" si="56"/>
        <v>0.56249999999999956</v>
      </c>
      <c r="S44" s="74">
        <f t="shared" si="56"/>
        <v>0.60416666666666652</v>
      </c>
      <c r="T44" s="74">
        <f t="shared" si="56"/>
        <v>0.64583333333333348</v>
      </c>
      <c r="U44" s="74">
        <f t="shared" si="56"/>
        <v>0.68749999999999956</v>
      </c>
      <c r="V44" s="74">
        <f t="shared" si="56"/>
        <v>0.72916666666666652</v>
      </c>
      <c r="W44" s="74"/>
      <c r="X44" s="74">
        <f t="shared" si="56"/>
        <v>0.77083333333333348</v>
      </c>
      <c r="Y44" s="74"/>
      <c r="Z44" s="74">
        <f t="shared" si="56"/>
        <v>0.81249999999999956</v>
      </c>
      <c r="AA44" s="74">
        <f t="shared" si="56"/>
        <v>0.85416666666666652</v>
      </c>
      <c r="AB44" s="103">
        <f t="shared" si="56"/>
        <v>0.89583333333333348</v>
      </c>
    </row>
    <row r="45" spans="1:28" s="18" customFormat="1" ht="15" customHeight="1" x14ac:dyDescent="0.3">
      <c r="A45" s="114">
        <v>16</v>
      </c>
      <c r="B45" s="95" t="s">
        <v>20</v>
      </c>
      <c r="C45" s="60"/>
      <c r="D45" s="74">
        <f t="shared" ref="D45:AB45" si="57">D44+"0:02"</f>
        <v>0.23055555555555551</v>
      </c>
      <c r="E45" s="74">
        <f t="shared" si="57"/>
        <v>0.27222222222222242</v>
      </c>
      <c r="F45" s="74">
        <f t="shared" si="57"/>
        <v>0.31388888888888844</v>
      </c>
      <c r="G45" s="74"/>
      <c r="H45" s="74">
        <f t="shared" si="57"/>
        <v>0.3555555555555554</v>
      </c>
      <c r="I45" s="74"/>
      <c r="J45" s="74">
        <f t="shared" si="57"/>
        <v>0.39722222222222242</v>
      </c>
      <c r="K45" s="74"/>
      <c r="L45" s="74">
        <f t="shared" si="57"/>
        <v>0.43888888888888844</v>
      </c>
      <c r="M45" s="74"/>
      <c r="N45" s="74">
        <f t="shared" si="57"/>
        <v>0.4805555555555554</v>
      </c>
      <c r="O45" s="74"/>
      <c r="P45" s="74">
        <f t="shared" si="57"/>
        <v>0.52222222222222237</v>
      </c>
      <c r="Q45" s="74"/>
      <c r="R45" s="74">
        <f t="shared" si="57"/>
        <v>0.56388888888888844</v>
      </c>
      <c r="S45" s="74">
        <f t="shared" si="57"/>
        <v>0.6055555555555554</v>
      </c>
      <c r="T45" s="74">
        <f t="shared" si="57"/>
        <v>0.64722222222222237</v>
      </c>
      <c r="U45" s="74">
        <f t="shared" si="57"/>
        <v>0.68888888888888844</v>
      </c>
      <c r="V45" s="74">
        <f t="shared" si="57"/>
        <v>0.7305555555555554</v>
      </c>
      <c r="W45" s="74"/>
      <c r="X45" s="74">
        <f t="shared" si="57"/>
        <v>0.77222222222222237</v>
      </c>
      <c r="Y45" s="74"/>
      <c r="Z45" s="74">
        <f t="shared" si="57"/>
        <v>0.81388888888888844</v>
      </c>
      <c r="AA45" s="74">
        <f t="shared" si="57"/>
        <v>0.8555555555555554</v>
      </c>
      <c r="AB45" s="103">
        <f t="shared" si="57"/>
        <v>0.89722222222222237</v>
      </c>
    </row>
    <row r="46" spans="1:28" s="18" customFormat="1" ht="15" customHeight="1" x14ac:dyDescent="0.3">
      <c r="A46" s="114">
        <v>15</v>
      </c>
      <c r="B46" s="95" t="s">
        <v>16</v>
      </c>
      <c r="C46" s="60" t="s">
        <v>84</v>
      </c>
      <c r="D46" s="74">
        <f>D45+"0:02"</f>
        <v>0.2319444444444444</v>
      </c>
      <c r="E46" s="74">
        <f t="shared" ref="E46:AB46" si="58">E45+"0:02"</f>
        <v>0.2736111111111113</v>
      </c>
      <c r="F46" s="74">
        <f t="shared" si="58"/>
        <v>0.31527777777777732</v>
      </c>
      <c r="G46" s="74"/>
      <c r="H46" s="74">
        <f t="shared" si="58"/>
        <v>0.35694444444444429</v>
      </c>
      <c r="I46" s="74"/>
      <c r="J46" s="74">
        <f t="shared" si="58"/>
        <v>0.3986111111111113</v>
      </c>
      <c r="K46" s="74"/>
      <c r="L46" s="74">
        <f t="shared" si="58"/>
        <v>0.44027777777777732</v>
      </c>
      <c r="M46" s="74"/>
      <c r="N46" s="74">
        <f t="shared" si="58"/>
        <v>0.48194444444444429</v>
      </c>
      <c r="O46" s="74"/>
      <c r="P46" s="74">
        <f t="shared" si="58"/>
        <v>0.52361111111111125</v>
      </c>
      <c r="Q46" s="74"/>
      <c r="R46" s="74">
        <f t="shared" si="58"/>
        <v>0.56527777777777732</v>
      </c>
      <c r="S46" s="74">
        <f t="shared" si="58"/>
        <v>0.60694444444444429</v>
      </c>
      <c r="T46" s="74">
        <f t="shared" si="58"/>
        <v>0.64861111111111125</v>
      </c>
      <c r="U46" s="74">
        <f t="shared" si="58"/>
        <v>0.69027777777777732</v>
      </c>
      <c r="V46" s="74">
        <f t="shared" si="58"/>
        <v>0.73194444444444429</v>
      </c>
      <c r="W46" s="74"/>
      <c r="X46" s="74">
        <f t="shared" si="58"/>
        <v>0.77361111111111125</v>
      </c>
      <c r="Y46" s="74"/>
      <c r="Z46" s="74">
        <f t="shared" si="58"/>
        <v>0.81527777777777732</v>
      </c>
      <c r="AA46" s="74">
        <f t="shared" si="58"/>
        <v>0.85694444444444429</v>
      </c>
      <c r="AB46" s="103">
        <f t="shared" si="58"/>
        <v>0.89861111111111125</v>
      </c>
    </row>
    <row r="47" spans="1:28" s="18" customFormat="1" ht="15" customHeight="1" x14ac:dyDescent="0.3">
      <c r="A47" s="114">
        <v>14</v>
      </c>
      <c r="B47" s="95" t="s">
        <v>37</v>
      </c>
      <c r="C47" s="60" t="s">
        <v>83</v>
      </c>
      <c r="D47" s="74"/>
      <c r="E47" s="74"/>
      <c r="F47" s="74"/>
      <c r="G47" s="74">
        <v>0.34375</v>
      </c>
      <c r="H47" s="74"/>
      <c r="I47" s="74">
        <v>0.38541666666666669</v>
      </c>
      <c r="J47" s="74"/>
      <c r="K47" s="74">
        <v>0.42708333333333331</v>
      </c>
      <c r="L47" s="74"/>
      <c r="M47" s="74">
        <v>0.46875</v>
      </c>
      <c r="N47" s="74"/>
      <c r="O47" s="74">
        <v>0.51041666666666663</v>
      </c>
      <c r="P47" s="74"/>
      <c r="Q47" s="74">
        <v>0.55208333333333337</v>
      </c>
      <c r="R47" s="74"/>
      <c r="S47" s="74"/>
      <c r="T47" s="74"/>
      <c r="U47" s="74"/>
      <c r="V47" s="74"/>
      <c r="W47" s="74">
        <v>0.76041666666666663</v>
      </c>
      <c r="X47" s="74"/>
      <c r="Y47" s="74">
        <v>0.80208333333333337</v>
      </c>
      <c r="Z47" s="74"/>
      <c r="AA47" s="74"/>
      <c r="AB47" s="144">
        <v>562</v>
      </c>
    </row>
    <row r="48" spans="1:28" s="18" customFormat="1" ht="15" customHeight="1" x14ac:dyDescent="0.3">
      <c r="A48" s="114">
        <v>13</v>
      </c>
      <c r="B48" s="95" t="s">
        <v>38</v>
      </c>
      <c r="C48" s="60"/>
      <c r="D48" s="74"/>
      <c r="E48" s="74"/>
      <c r="F48" s="74"/>
      <c r="G48" s="74">
        <f t="shared" ref="G48:Q50" si="59">G47+"0:02"</f>
        <v>0.34513888888888888</v>
      </c>
      <c r="H48" s="74"/>
      <c r="I48" s="74">
        <f t="shared" si="59"/>
        <v>0.38680555555555557</v>
      </c>
      <c r="J48" s="74"/>
      <c r="K48" s="74">
        <f t="shared" si="59"/>
        <v>0.4284722222222222</v>
      </c>
      <c r="L48" s="74"/>
      <c r="M48" s="74">
        <f t="shared" si="59"/>
        <v>0.47013888888888888</v>
      </c>
      <c r="N48" s="74"/>
      <c r="O48" s="74">
        <f t="shared" si="59"/>
        <v>0.51180555555555551</v>
      </c>
      <c r="P48" s="74"/>
      <c r="Q48" s="74">
        <f t="shared" si="59"/>
        <v>0.55347222222222225</v>
      </c>
      <c r="R48" s="74"/>
      <c r="S48" s="74"/>
      <c r="T48" s="74"/>
      <c r="U48" s="74"/>
      <c r="V48" s="74"/>
      <c r="W48" s="74">
        <f t="shared" ref="W48:Y50" si="60">W47+"0:02"</f>
        <v>0.76180555555555551</v>
      </c>
      <c r="X48" s="74"/>
      <c r="Y48" s="74">
        <f t="shared" si="60"/>
        <v>0.80347222222222225</v>
      </c>
      <c r="Z48" s="74"/>
      <c r="AA48" s="74"/>
      <c r="AB48" s="103"/>
    </row>
    <row r="49" spans="1:31" s="18" customFormat="1" ht="15" customHeight="1" x14ac:dyDescent="0.3">
      <c r="A49" s="114">
        <v>12</v>
      </c>
      <c r="B49" s="95" t="s">
        <v>39</v>
      </c>
      <c r="C49" s="60"/>
      <c r="D49" s="74"/>
      <c r="E49" s="74"/>
      <c r="F49" s="74"/>
      <c r="G49" s="74">
        <f t="shared" si="59"/>
        <v>0.34652777777777777</v>
      </c>
      <c r="H49" s="74"/>
      <c r="I49" s="74">
        <f t="shared" si="59"/>
        <v>0.38819444444444445</v>
      </c>
      <c r="J49" s="74"/>
      <c r="K49" s="74">
        <f t="shared" si="59"/>
        <v>0.42986111111111108</v>
      </c>
      <c r="L49" s="74"/>
      <c r="M49" s="74">
        <f t="shared" si="59"/>
        <v>0.47152777777777777</v>
      </c>
      <c r="N49" s="74"/>
      <c r="O49" s="74">
        <f t="shared" si="59"/>
        <v>0.5131944444444444</v>
      </c>
      <c r="P49" s="74"/>
      <c r="Q49" s="74">
        <f t="shared" si="59"/>
        <v>0.55486111111111114</v>
      </c>
      <c r="R49" s="74"/>
      <c r="S49" s="74"/>
      <c r="T49" s="74"/>
      <c r="U49" s="74"/>
      <c r="V49" s="74"/>
      <c r="W49" s="74">
        <f t="shared" si="60"/>
        <v>0.7631944444444444</v>
      </c>
      <c r="X49" s="74"/>
      <c r="Y49" s="74">
        <f t="shared" si="60"/>
        <v>0.80486111111111114</v>
      </c>
      <c r="Z49" s="74"/>
      <c r="AA49" s="74"/>
      <c r="AB49" s="103"/>
    </row>
    <row r="50" spans="1:31" s="18" customFormat="1" ht="15" customHeight="1" x14ac:dyDescent="0.3">
      <c r="A50" s="114">
        <v>11</v>
      </c>
      <c r="B50" s="97" t="s">
        <v>97</v>
      </c>
      <c r="C50" s="60" t="s">
        <v>84</v>
      </c>
      <c r="D50" s="74"/>
      <c r="E50" s="74"/>
      <c r="F50" s="74"/>
      <c r="G50" s="74">
        <f t="shared" si="59"/>
        <v>0.34791666666666665</v>
      </c>
      <c r="H50" s="74"/>
      <c r="I50" s="74">
        <f t="shared" si="59"/>
        <v>0.38958333333333334</v>
      </c>
      <c r="J50" s="74"/>
      <c r="K50" s="74">
        <f t="shared" si="59"/>
        <v>0.43124999999999997</v>
      </c>
      <c r="L50" s="74"/>
      <c r="M50" s="74">
        <f t="shared" si="59"/>
        <v>0.47291666666666665</v>
      </c>
      <c r="N50" s="74"/>
      <c r="O50" s="74">
        <f t="shared" si="59"/>
        <v>0.51458333333333328</v>
      </c>
      <c r="P50" s="74"/>
      <c r="Q50" s="74">
        <f t="shared" si="59"/>
        <v>0.55625000000000002</v>
      </c>
      <c r="R50" s="74"/>
      <c r="S50" s="74"/>
      <c r="T50" s="74"/>
      <c r="U50" s="74"/>
      <c r="V50" s="74"/>
      <c r="W50" s="74">
        <f t="shared" si="60"/>
        <v>0.76458333333333328</v>
      </c>
      <c r="X50" s="74"/>
      <c r="Y50" s="74">
        <f t="shared" si="60"/>
        <v>0.80625000000000002</v>
      </c>
      <c r="Z50" s="74"/>
      <c r="AA50" s="74"/>
      <c r="AB50" s="103"/>
    </row>
    <row r="51" spans="1:31" s="18" customFormat="1" ht="15" customHeight="1" x14ac:dyDescent="0.3">
      <c r="A51" s="114">
        <v>11</v>
      </c>
      <c r="B51" s="97" t="s">
        <v>97</v>
      </c>
      <c r="C51" s="60" t="s">
        <v>83</v>
      </c>
      <c r="D51" s="74">
        <f>D46+"0:04"</f>
        <v>0.23472222222222217</v>
      </c>
      <c r="E51" s="74">
        <f t="shared" ref="E51:AA51" si="61">E46+"0:04"</f>
        <v>0.27638888888888907</v>
      </c>
      <c r="F51" s="74">
        <f t="shared" si="61"/>
        <v>0.31805555555555509</v>
      </c>
      <c r="G51" s="74">
        <v>0.34861111111111115</v>
      </c>
      <c r="H51" s="74">
        <f t="shared" si="61"/>
        <v>0.35972222222222205</v>
      </c>
      <c r="I51" s="74">
        <v>0.39027777777777778</v>
      </c>
      <c r="J51" s="74">
        <f t="shared" si="61"/>
        <v>0.40138888888888907</v>
      </c>
      <c r="K51" s="74">
        <v>0.43194444444444446</v>
      </c>
      <c r="L51" s="74">
        <f t="shared" si="61"/>
        <v>0.44305555555555509</v>
      </c>
      <c r="M51" s="74">
        <v>0.47361111111111115</v>
      </c>
      <c r="N51" s="74">
        <f t="shared" si="61"/>
        <v>0.48472222222222205</v>
      </c>
      <c r="O51" s="74">
        <v>0.51527777777777783</v>
      </c>
      <c r="P51" s="74">
        <f t="shared" si="61"/>
        <v>0.52638888888888902</v>
      </c>
      <c r="Q51" s="74">
        <v>0.55694444444444446</v>
      </c>
      <c r="R51" s="74">
        <f t="shared" si="61"/>
        <v>0.56805555555555509</v>
      </c>
      <c r="S51" s="74">
        <f t="shared" si="61"/>
        <v>0.60972222222222205</v>
      </c>
      <c r="T51" s="74">
        <f t="shared" si="61"/>
        <v>0.65138888888888902</v>
      </c>
      <c r="U51" s="74">
        <f t="shared" si="61"/>
        <v>0.69305555555555509</v>
      </c>
      <c r="V51" s="74">
        <f t="shared" si="61"/>
        <v>0.73472222222222205</v>
      </c>
      <c r="W51" s="74">
        <v>0.76527777777777783</v>
      </c>
      <c r="X51" s="74">
        <f t="shared" si="61"/>
        <v>0.77638888888888902</v>
      </c>
      <c r="Y51" s="74">
        <v>0.80694444444444446</v>
      </c>
      <c r="Z51" s="74">
        <f t="shared" si="61"/>
        <v>0.81805555555555509</v>
      </c>
      <c r="AA51" s="74">
        <f t="shared" si="61"/>
        <v>0.85972222222222205</v>
      </c>
      <c r="AB51" s="103"/>
    </row>
    <row r="52" spans="1:31" s="18" customFormat="1" ht="15" customHeight="1" x14ac:dyDescent="0.3">
      <c r="A52" s="114">
        <v>10</v>
      </c>
      <c r="B52" s="95" t="s">
        <v>69</v>
      </c>
      <c r="C52" s="60"/>
      <c r="D52" s="74">
        <f>D51+"0:02"</f>
        <v>0.23611111111111105</v>
      </c>
      <c r="E52" s="74">
        <f t="shared" ref="E52:AA52" si="62">E51+"0:02"</f>
        <v>0.27777777777777796</v>
      </c>
      <c r="F52" s="74">
        <f t="shared" si="62"/>
        <v>0.31944444444444398</v>
      </c>
      <c r="G52" s="74">
        <f t="shared" ref="G52:I52" si="63">G51+"0:02"</f>
        <v>0.35000000000000003</v>
      </c>
      <c r="H52" s="74">
        <f t="shared" si="62"/>
        <v>0.36111111111111094</v>
      </c>
      <c r="I52" s="74">
        <f t="shared" si="63"/>
        <v>0.39166666666666666</v>
      </c>
      <c r="J52" s="74">
        <f t="shared" si="62"/>
        <v>0.40277777777777796</v>
      </c>
      <c r="K52" s="74">
        <f t="shared" si="62"/>
        <v>0.43333333333333335</v>
      </c>
      <c r="L52" s="74">
        <f t="shared" si="62"/>
        <v>0.44444444444444398</v>
      </c>
      <c r="M52" s="74">
        <f t="shared" ref="M52:O52" si="64">M51+"0:02"</f>
        <v>0.47500000000000003</v>
      </c>
      <c r="N52" s="74">
        <f t="shared" si="62"/>
        <v>0.48611111111111094</v>
      </c>
      <c r="O52" s="74">
        <f t="shared" si="64"/>
        <v>0.51666666666666672</v>
      </c>
      <c r="P52" s="74">
        <f t="shared" si="62"/>
        <v>0.5277777777777779</v>
      </c>
      <c r="Q52" s="74">
        <f t="shared" si="62"/>
        <v>0.55833333333333335</v>
      </c>
      <c r="R52" s="74">
        <f t="shared" si="62"/>
        <v>0.56944444444444398</v>
      </c>
      <c r="S52" s="74">
        <f t="shared" si="62"/>
        <v>0.61111111111111094</v>
      </c>
      <c r="T52" s="74">
        <f t="shared" si="62"/>
        <v>0.6527777777777779</v>
      </c>
      <c r="U52" s="74">
        <f t="shared" si="62"/>
        <v>0.69444444444444398</v>
      </c>
      <c r="V52" s="74">
        <f t="shared" si="62"/>
        <v>0.73611111111111094</v>
      </c>
      <c r="W52" s="74">
        <f t="shared" ref="W52:Y52" si="65">W51+"0:02"</f>
        <v>0.76666666666666672</v>
      </c>
      <c r="X52" s="74">
        <f t="shared" si="62"/>
        <v>0.7777777777777779</v>
      </c>
      <c r="Y52" s="74">
        <f t="shared" si="65"/>
        <v>0.80833333333333335</v>
      </c>
      <c r="Z52" s="74">
        <f t="shared" si="62"/>
        <v>0.81944444444444398</v>
      </c>
      <c r="AA52" s="74">
        <f t="shared" si="62"/>
        <v>0.86111111111111094</v>
      </c>
      <c r="AB52" s="103"/>
    </row>
    <row r="53" spans="1:31" s="18" customFormat="1" ht="15" customHeight="1" x14ac:dyDescent="0.3">
      <c r="A53" s="114">
        <v>9</v>
      </c>
      <c r="B53" s="95" t="s">
        <v>23</v>
      </c>
      <c r="C53" s="60"/>
      <c r="D53" s="74">
        <f>D52+"0:03"</f>
        <v>0.23819444444444438</v>
      </c>
      <c r="E53" s="74">
        <f t="shared" ref="E53:AA53" si="66">E52+"0:03"</f>
        <v>0.27986111111111128</v>
      </c>
      <c r="F53" s="74">
        <f t="shared" si="66"/>
        <v>0.3215277777777773</v>
      </c>
      <c r="G53" s="74">
        <f t="shared" ref="G53:I53" si="67">G52+"0:03"</f>
        <v>0.35208333333333336</v>
      </c>
      <c r="H53" s="74">
        <f t="shared" si="66"/>
        <v>0.36319444444444426</v>
      </c>
      <c r="I53" s="74">
        <f t="shared" si="67"/>
        <v>0.39374999999999999</v>
      </c>
      <c r="J53" s="74">
        <f t="shared" si="66"/>
        <v>0.40486111111111128</v>
      </c>
      <c r="K53" s="74">
        <f t="shared" si="66"/>
        <v>0.43541666666666667</v>
      </c>
      <c r="L53" s="74">
        <f t="shared" si="66"/>
        <v>0.4465277777777773</v>
      </c>
      <c r="M53" s="74">
        <f t="shared" ref="M53:O53" si="68">M52+"0:03"</f>
        <v>0.47708333333333336</v>
      </c>
      <c r="N53" s="74">
        <f t="shared" si="66"/>
        <v>0.48819444444444426</v>
      </c>
      <c r="O53" s="74">
        <f t="shared" si="68"/>
        <v>0.51875000000000004</v>
      </c>
      <c r="P53" s="74">
        <f t="shared" si="66"/>
        <v>0.52986111111111123</v>
      </c>
      <c r="Q53" s="74">
        <f t="shared" si="66"/>
        <v>0.56041666666666667</v>
      </c>
      <c r="R53" s="74">
        <f t="shared" si="66"/>
        <v>0.5715277777777773</v>
      </c>
      <c r="S53" s="74">
        <f t="shared" si="66"/>
        <v>0.61319444444444426</v>
      </c>
      <c r="T53" s="74">
        <f t="shared" si="66"/>
        <v>0.65486111111111123</v>
      </c>
      <c r="U53" s="74">
        <f t="shared" si="66"/>
        <v>0.6965277777777773</v>
      </c>
      <c r="V53" s="74">
        <f t="shared" si="66"/>
        <v>0.73819444444444426</v>
      </c>
      <c r="W53" s="74">
        <f t="shared" ref="W53:Y53" si="69">W52+"0:03"</f>
        <v>0.76875000000000004</v>
      </c>
      <c r="X53" s="74">
        <f t="shared" si="66"/>
        <v>0.77986111111111123</v>
      </c>
      <c r="Y53" s="74">
        <f t="shared" si="69"/>
        <v>0.81041666666666667</v>
      </c>
      <c r="Z53" s="74">
        <f t="shared" si="66"/>
        <v>0.8215277777777773</v>
      </c>
      <c r="AA53" s="74">
        <f t="shared" si="66"/>
        <v>0.86319444444444426</v>
      </c>
      <c r="AB53" s="103"/>
    </row>
    <row r="54" spans="1:31" s="18" customFormat="1" ht="15" customHeight="1" x14ac:dyDescent="0.3">
      <c r="A54" s="114">
        <v>8</v>
      </c>
      <c r="B54" s="95" t="s">
        <v>55</v>
      </c>
      <c r="C54" s="60"/>
      <c r="D54" s="74">
        <f>D53+"0:01"</f>
        <v>0.23888888888888882</v>
      </c>
      <c r="E54" s="74">
        <f t="shared" ref="E54:AA54" si="70">E53+"0:01"</f>
        <v>0.28055555555555572</v>
      </c>
      <c r="F54" s="74">
        <f t="shared" si="70"/>
        <v>0.32222222222222174</v>
      </c>
      <c r="G54" s="74">
        <f t="shared" ref="G54:I54" si="71">G53+"0:01"</f>
        <v>0.3527777777777778</v>
      </c>
      <c r="H54" s="74">
        <f t="shared" si="70"/>
        <v>0.36388888888888871</v>
      </c>
      <c r="I54" s="74">
        <f t="shared" si="71"/>
        <v>0.39444444444444443</v>
      </c>
      <c r="J54" s="74">
        <f t="shared" si="70"/>
        <v>0.40555555555555572</v>
      </c>
      <c r="K54" s="74">
        <f t="shared" si="70"/>
        <v>0.43611111111111112</v>
      </c>
      <c r="L54" s="74">
        <f t="shared" si="70"/>
        <v>0.44722222222222174</v>
      </c>
      <c r="M54" s="74">
        <f t="shared" ref="M54:O54" si="72">M53+"0:01"</f>
        <v>0.4777777777777778</v>
      </c>
      <c r="N54" s="74">
        <f t="shared" si="70"/>
        <v>0.48888888888888871</v>
      </c>
      <c r="O54" s="74">
        <f t="shared" si="72"/>
        <v>0.51944444444444449</v>
      </c>
      <c r="P54" s="74">
        <f t="shared" si="70"/>
        <v>0.53055555555555567</v>
      </c>
      <c r="Q54" s="74">
        <f t="shared" si="70"/>
        <v>0.56111111111111112</v>
      </c>
      <c r="R54" s="74">
        <f t="shared" si="70"/>
        <v>0.57222222222222174</v>
      </c>
      <c r="S54" s="74">
        <f t="shared" si="70"/>
        <v>0.61388888888888871</v>
      </c>
      <c r="T54" s="74">
        <f t="shared" si="70"/>
        <v>0.65555555555555567</v>
      </c>
      <c r="U54" s="74">
        <f t="shared" si="70"/>
        <v>0.69722222222222174</v>
      </c>
      <c r="V54" s="74">
        <f t="shared" si="70"/>
        <v>0.73888888888888871</v>
      </c>
      <c r="W54" s="74">
        <f t="shared" ref="W54:Y54" si="73">W53+"0:01"</f>
        <v>0.76944444444444449</v>
      </c>
      <c r="X54" s="74">
        <f t="shared" si="70"/>
        <v>0.78055555555555567</v>
      </c>
      <c r="Y54" s="74">
        <f t="shared" si="73"/>
        <v>0.81111111111111112</v>
      </c>
      <c r="Z54" s="74">
        <f t="shared" si="70"/>
        <v>0.82222222222222174</v>
      </c>
      <c r="AA54" s="74">
        <f t="shared" si="70"/>
        <v>0.86388888888888871</v>
      </c>
      <c r="AB54" s="103"/>
    </row>
    <row r="55" spans="1:31" s="18" customFormat="1" ht="15" customHeight="1" x14ac:dyDescent="0.3">
      <c r="A55" s="114">
        <v>7</v>
      </c>
      <c r="B55" s="95" t="s">
        <v>70</v>
      </c>
      <c r="C55" s="60"/>
      <c r="D55" s="74">
        <f>D54+"0:03"</f>
        <v>0.24097222222222214</v>
      </c>
      <c r="E55" s="74">
        <f t="shared" ref="E55:AA55" si="74">E54+"0:03"</f>
        <v>0.28263888888888905</v>
      </c>
      <c r="F55" s="74">
        <f t="shared" si="74"/>
        <v>0.32430555555555507</v>
      </c>
      <c r="G55" s="74">
        <f t="shared" ref="G55:I55" si="75">G54+"0:03"</f>
        <v>0.35486111111111113</v>
      </c>
      <c r="H55" s="74">
        <f t="shared" si="74"/>
        <v>0.36597222222222203</v>
      </c>
      <c r="I55" s="74">
        <f t="shared" si="75"/>
        <v>0.39652777777777776</v>
      </c>
      <c r="J55" s="74">
        <f t="shared" si="74"/>
        <v>0.40763888888888905</v>
      </c>
      <c r="K55" s="74">
        <f t="shared" si="74"/>
        <v>0.43819444444444444</v>
      </c>
      <c r="L55" s="74">
        <f t="shared" si="74"/>
        <v>0.44930555555555507</v>
      </c>
      <c r="M55" s="74">
        <f t="shared" ref="M55:O55" si="76">M54+"0:03"</f>
        <v>0.47986111111111113</v>
      </c>
      <c r="N55" s="74">
        <f t="shared" si="74"/>
        <v>0.49097222222222203</v>
      </c>
      <c r="O55" s="74">
        <f t="shared" si="76"/>
        <v>0.52152777777777781</v>
      </c>
      <c r="P55" s="74">
        <f t="shared" si="74"/>
        <v>0.53263888888888899</v>
      </c>
      <c r="Q55" s="74">
        <f t="shared" si="74"/>
        <v>0.56319444444444444</v>
      </c>
      <c r="R55" s="74">
        <f t="shared" si="74"/>
        <v>0.57430555555555507</v>
      </c>
      <c r="S55" s="74">
        <f t="shared" si="74"/>
        <v>0.61597222222222203</v>
      </c>
      <c r="T55" s="74">
        <f t="shared" si="74"/>
        <v>0.65763888888888899</v>
      </c>
      <c r="U55" s="74">
        <f t="shared" si="74"/>
        <v>0.69930555555555507</v>
      </c>
      <c r="V55" s="74">
        <f t="shared" si="74"/>
        <v>0.74097222222222203</v>
      </c>
      <c r="W55" s="74">
        <f t="shared" ref="W55:Y55" si="77">W54+"0:03"</f>
        <v>0.77152777777777781</v>
      </c>
      <c r="X55" s="74">
        <f t="shared" si="74"/>
        <v>0.78263888888888899</v>
      </c>
      <c r="Y55" s="74">
        <f t="shared" si="77"/>
        <v>0.81319444444444444</v>
      </c>
      <c r="Z55" s="74">
        <f t="shared" si="74"/>
        <v>0.82430555555555507</v>
      </c>
      <c r="AA55" s="74">
        <f t="shared" si="74"/>
        <v>0.86597222222222203</v>
      </c>
      <c r="AB55" s="103"/>
    </row>
    <row r="56" spans="1:31" s="18" customFormat="1" ht="15" customHeight="1" x14ac:dyDescent="0.3">
      <c r="A56" s="114">
        <v>6</v>
      </c>
      <c r="B56" s="95" t="s">
        <v>46</v>
      </c>
      <c r="C56" s="60"/>
      <c r="D56" s="74">
        <f>D55+"0:02"</f>
        <v>0.24236111111111103</v>
      </c>
      <c r="E56" s="74">
        <f t="shared" ref="E56:AA56" si="78">E55+"0:02"</f>
        <v>0.28402777777777793</v>
      </c>
      <c r="F56" s="74">
        <f t="shared" si="78"/>
        <v>0.32569444444444395</v>
      </c>
      <c r="G56" s="74">
        <f t="shared" ref="G56:I56" si="79">G55+"0:02"</f>
        <v>0.35625000000000001</v>
      </c>
      <c r="H56" s="74">
        <f t="shared" si="78"/>
        <v>0.36736111111111092</v>
      </c>
      <c r="I56" s="74">
        <f t="shared" si="79"/>
        <v>0.39791666666666664</v>
      </c>
      <c r="J56" s="74">
        <f t="shared" si="78"/>
        <v>0.40902777777777793</v>
      </c>
      <c r="K56" s="74">
        <f t="shared" si="78"/>
        <v>0.43958333333333333</v>
      </c>
      <c r="L56" s="74">
        <f t="shared" si="78"/>
        <v>0.45069444444444395</v>
      </c>
      <c r="M56" s="74">
        <f t="shared" ref="M56:O56" si="80">M55+"0:02"</f>
        <v>0.48125000000000001</v>
      </c>
      <c r="N56" s="74">
        <f t="shared" si="78"/>
        <v>0.49236111111111092</v>
      </c>
      <c r="O56" s="74">
        <f t="shared" si="80"/>
        <v>0.5229166666666667</v>
      </c>
      <c r="P56" s="74">
        <f t="shared" si="78"/>
        <v>0.53402777777777788</v>
      </c>
      <c r="Q56" s="74">
        <f t="shared" si="78"/>
        <v>0.56458333333333333</v>
      </c>
      <c r="R56" s="74">
        <f t="shared" si="78"/>
        <v>0.57569444444444395</v>
      </c>
      <c r="S56" s="74">
        <f t="shared" si="78"/>
        <v>0.61736111111111092</v>
      </c>
      <c r="T56" s="74">
        <f t="shared" si="78"/>
        <v>0.65902777777777788</v>
      </c>
      <c r="U56" s="74">
        <f t="shared" si="78"/>
        <v>0.70069444444444395</v>
      </c>
      <c r="V56" s="74">
        <f t="shared" si="78"/>
        <v>0.74236111111111092</v>
      </c>
      <c r="W56" s="74">
        <f t="shared" ref="W56:Y56" si="81">W55+"0:02"</f>
        <v>0.7729166666666667</v>
      </c>
      <c r="X56" s="74">
        <f t="shared" si="78"/>
        <v>0.78402777777777788</v>
      </c>
      <c r="Y56" s="74">
        <f t="shared" si="81"/>
        <v>0.81458333333333333</v>
      </c>
      <c r="Z56" s="74">
        <f t="shared" si="78"/>
        <v>0.82569444444444395</v>
      </c>
      <c r="AA56" s="74">
        <f t="shared" si="78"/>
        <v>0.86736111111111092</v>
      </c>
      <c r="AB56" s="103"/>
    </row>
    <row r="57" spans="1:31" s="18" customFormat="1" ht="15" customHeight="1" x14ac:dyDescent="0.3">
      <c r="A57" s="114">
        <v>5</v>
      </c>
      <c r="B57" s="95" t="s">
        <v>47</v>
      </c>
      <c r="C57" s="60"/>
      <c r="D57" s="74">
        <f>D56+"0:01"</f>
        <v>0.24305555555555547</v>
      </c>
      <c r="E57" s="74">
        <f t="shared" ref="E57:AA58" si="82">E56+"0:01"</f>
        <v>0.28472222222222238</v>
      </c>
      <c r="F57" s="74">
        <f t="shared" si="82"/>
        <v>0.3263888888888884</v>
      </c>
      <c r="G57" s="74">
        <f t="shared" ref="G57:I57" si="83">G56+"0:01"</f>
        <v>0.35694444444444445</v>
      </c>
      <c r="H57" s="74">
        <f t="shared" si="82"/>
        <v>0.36805555555555536</v>
      </c>
      <c r="I57" s="74">
        <f t="shared" si="83"/>
        <v>0.39861111111111108</v>
      </c>
      <c r="J57" s="74">
        <f t="shared" si="82"/>
        <v>0.40972222222222238</v>
      </c>
      <c r="K57" s="74">
        <f t="shared" si="82"/>
        <v>0.44027777777777777</v>
      </c>
      <c r="L57" s="74">
        <f t="shared" si="82"/>
        <v>0.4513888888888884</v>
      </c>
      <c r="M57" s="74">
        <f t="shared" ref="M57:O57" si="84">M56+"0:01"</f>
        <v>0.48194444444444445</v>
      </c>
      <c r="N57" s="74">
        <f t="shared" si="82"/>
        <v>0.49305555555555536</v>
      </c>
      <c r="O57" s="74">
        <f t="shared" si="84"/>
        <v>0.52361111111111114</v>
      </c>
      <c r="P57" s="74">
        <f t="shared" si="82"/>
        <v>0.53472222222222232</v>
      </c>
      <c r="Q57" s="74">
        <f t="shared" si="82"/>
        <v>0.56527777777777777</v>
      </c>
      <c r="R57" s="74">
        <f t="shared" si="82"/>
        <v>0.5763888888888884</v>
      </c>
      <c r="S57" s="74">
        <f t="shared" si="82"/>
        <v>0.61805555555555536</v>
      </c>
      <c r="T57" s="74">
        <f t="shared" si="82"/>
        <v>0.65972222222222232</v>
      </c>
      <c r="U57" s="74">
        <f t="shared" si="82"/>
        <v>0.7013888888888884</v>
      </c>
      <c r="V57" s="74">
        <f t="shared" si="82"/>
        <v>0.74305555555555536</v>
      </c>
      <c r="W57" s="74">
        <f t="shared" ref="W57:Y57" si="85">W56+"0:01"</f>
        <v>0.77361111111111114</v>
      </c>
      <c r="X57" s="74">
        <f t="shared" si="82"/>
        <v>0.78472222222222232</v>
      </c>
      <c r="Y57" s="74">
        <f t="shared" si="85"/>
        <v>0.81527777777777777</v>
      </c>
      <c r="Z57" s="74">
        <f t="shared" si="82"/>
        <v>0.8263888888888884</v>
      </c>
      <c r="AA57" s="74">
        <f t="shared" si="82"/>
        <v>0.86805555555555536</v>
      </c>
      <c r="AB57" s="103"/>
    </row>
    <row r="58" spans="1:31" s="18" customFormat="1" ht="15" customHeight="1" x14ac:dyDescent="0.3">
      <c r="A58" s="114">
        <v>4</v>
      </c>
      <c r="B58" s="95" t="s">
        <v>48</v>
      </c>
      <c r="C58" s="60"/>
      <c r="D58" s="74">
        <f>D57+"0:01"</f>
        <v>0.24374999999999991</v>
      </c>
      <c r="E58" s="74">
        <f t="shared" si="82"/>
        <v>0.28541666666666682</v>
      </c>
      <c r="F58" s="74">
        <f t="shared" si="82"/>
        <v>0.32708333333333284</v>
      </c>
      <c r="G58" s="74">
        <f t="shared" ref="G58:I58" si="86">G57+"0:01"</f>
        <v>0.3576388888888889</v>
      </c>
      <c r="H58" s="74">
        <f t="shared" si="82"/>
        <v>0.3687499999999998</v>
      </c>
      <c r="I58" s="74">
        <f t="shared" si="86"/>
        <v>0.39930555555555552</v>
      </c>
      <c r="J58" s="74">
        <f t="shared" si="82"/>
        <v>0.41041666666666682</v>
      </c>
      <c r="K58" s="74">
        <f t="shared" si="82"/>
        <v>0.44097222222222221</v>
      </c>
      <c r="L58" s="74">
        <f t="shared" si="82"/>
        <v>0.45208333333333284</v>
      </c>
      <c r="M58" s="74">
        <f t="shared" ref="M58:O58" si="87">M57+"0:01"</f>
        <v>0.4826388888888889</v>
      </c>
      <c r="N58" s="74">
        <f t="shared" si="82"/>
        <v>0.4937499999999998</v>
      </c>
      <c r="O58" s="74">
        <f t="shared" si="87"/>
        <v>0.52430555555555558</v>
      </c>
      <c r="P58" s="74">
        <f t="shared" si="82"/>
        <v>0.53541666666666676</v>
      </c>
      <c r="Q58" s="74">
        <f t="shared" si="82"/>
        <v>0.56597222222222221</v>
      </c>
      <c r="R58" s="74">
        <f t="shared" si="82"/>
        <v>0.57708333333333284</v>
      </c>
      <c r="S58" s="74">
        <f t="shared" si="82"/>
        <v>0.6187499999999998</v>
      </c>
      <c r="T58" s="74">
        <f t="shared" si="82"/>
        <v>0.66041666666666676</v>
      </c>
      <c r="U58" s="74">
        <f t="shared" si="82"/>
        <v>0.70208333333333284</v>
      </c>
      <c r="V58" s="74">
        <f t="shared" si="82"/>
        <v>0.7437499999999998</v>
      </c>
      <c r="W58" s="74">
        <f t="shared" ref="W58:Y58" si="88">W57+"0:01"</f>
        <v>0.77430555555555558</v>
      </c>
      <c r="X58" s="74">
        <f t="shared" si="82"/>
        <v>0.78541666666666676</v>
      </c>
      <c r="Y58" s="74">
        <f t="shared" si="88"/>
        <v>0.81597222222222221</v>
      </c>
      <c r="Z58" s="74">
        <f t="shared" si="82"/>
        <v>0.82708333333333284</v>
      </c>
      <c r="AA58" s="74">
        <f t="shared" si="82"/>
        <v>0.8687499999999998</v>
      </c>
      <c r="AB58" s="103"/>
    </row>
    <row r="59" spans="1:31" s="18" customFormat="1" ht="15" customHeight="1" x14ac:dyDescent="0.3">
      <c r="A59" s="114">
        <v>3</v>
      </c>
      <c r="B59" s="95" t="s">
        <v>49</v>
      </c>
      <c r="C59" s="60"/>
      <c r="D59" s="74">
        <f>D58+"0:02"</f>
        <v>0.2451388888888888</v>
      </c>
      <c r="E59" s="74">
        <f t="shared" ref="E59:AA59" si="89">E58+"0:02"</f>
        <v>0.2868055555555557</v>
      </c>
      <c r="F59" s="74">
        <f t="shared" si="89"/>
        <v>0.32847222222222172</v>
      </c>
      <c r="G59" s="74">
        <f t="shared" ref="G59:I59" si="90">G58+"0:02"</f>
        <v>0.35902777777777778</v>
      </c>
      <c r="H59" s="74">
        <f t="shared" si="89"/>
        <v>0.37013888888888868</v>
      </c>
      <c r="I59" s="74">
        <f t="shared" si="90"/>
        <v>0.40069444444444441</v>
      </c>
      <c r="J59" s="74">
        <f t="shared" si="89"/>
        <v>0.4118055555555557</v>
      </c>
      <c r="K59" s="74">
        <f t="shared" si="89"/>
        <v>0.44236111111111109</v>
      </c>
      <c r="L59" s="74">
        <f t="shared" si="89"/>
        <v>0.45347222222222172</v>
      </c>
      <c r="M59" s="74">
        <f t="shared" ref="M59:O59" si="91">M58+"0:02"</f>
        <v>0.48402777777777778</v>
      </c>
      <c r="N59" s="74">
        <f t="shared" si="89"/>
        <v>0.49513888888888868</v>
      </c>
      <c r="O59" s="74">
        <f t="shared" si="91"/>
        <v>0.52569444444444446</v>
      </c>
      <c r="P59" s="74">
        <f t="shared" si="89"/>
        <v>0.53680555555555565</v>
      </c>
      <c r="Q59" s="74">
        <f t="shared" si="89"/>
        <v>0.56736111111111109</v>
      </c>
      <c r="R59" s="74">
        <f t="shared" si="89"/>
        <v>0.57847222222222172</v>
      </c>
      <c r="S59" s="74">
        <f t="shared" si="89"/>
        <v>0.62013888888888868</v>
      </c>
      <c r="T59" s="74">
        <f t="shared" si="89"/>
        <v>0.66180555555555565</v>
      </c>
      <c r="U59" s="74">
        <f t="shared" si="89"/>
        <v>0.70347222222222172</v>
      </c>
      <c r="V59" s="74">
        <f t="shared" si="89"/>
        <v>0.74513888888888868</v>
      </c>
      <c r="W59" s="74">
        <f t="shared" ref="W59:Y59" si="92">W58+"0:02"</f>
        <v>0.77569444444444446</v>
      </c>
      <c r="X59" s="74">
        <f t="shared" si="89"/>
        <v>0.78680555555555565</v>
      </c>
      <c r="Y59" s="74">
        <f t="shared" si="92"/>
        <v>0.81736111111111109</v>
      </c>
      <c r="Z59" s="74">
        <f t="shared" si="89"/>
        <v>0.82847222222222172</v>
      </c>
      <c r="AA59" s="74">
        <f t="shared" si="89"/>
        <v>0.87013888888888868</v>
      </c>
      <c r="AB59" s="103"/>
    </row>
    <row r="60" spans="1:31" s="18" customFormat="1" ht="15" customHeight="1" x14ac:dyDescent="0.3">
      <c r="A60" s="114">
        <v>2</v>
      </c>
      <c r="B60" s="95" t="s">
        <v>50</v>
      </c>
      <c r="C60" s="60"/>
      <c r="D60" s="74">
        <f t="shared" ref="D60:D62" si="93">D59+"0:01"</f>
        <v>0.24583333333333324</v>
      </c>
      <c r="E60" s="74">
        <f t="shared" ref="E60:E62" si="94">E59+"0:01"</f>
        <v>0.28750000000000014</v>
      </c>
      <c r="F60" s="74">
        <f t="shared" ref="F60:G62" si="95">F59+"0:01"</f>
        <v>0.32916666666666616</v>
      </c>
      <c r="G60" s="74">
        <f t="shared" si="95"/>
        <v>0.35972222222222222</v>
      </c>
      <c r="H60" s="74">
        <f t="shared" ref="H60:I62" si="96">H59+"0:01"</f>
        <v>0.37083333333333313</v>
      </c>
      <c r="I60" s="74">
        <f t="shared" si="96"/>
        <v>0.40138888888888885</v>
      </c>
      <c r="J60" s="74">
        <f t="shared" ref="J60:K62" si="97">J59+"0:01"</f>
        <v>0.41250000000000014</v>
      </c>
      <c r="K60" s="74">
        <f t="shared" si="97"/>
        <v>0.44305555555555554</v>
      </c>
      <c r="L60" s="74">
        <f t="shared" ref="L60:M62" si="98">L59+"0:01"</f>
        <v>0.45416666666666616</v>
      </c>
      <c r="M60" s="74">
        <f t="shared" si="98"/>
        <v>0.48472222222222222</v>
      </c>
      <c r="N60" s="74">
        <f t="shared" ref="N60:O62" si="99">N59+"0:01"</f>
        <v>0.49583333333333313</v>
      </c>
      <c r="O60" s="74">
        <f t="shared" si="99"/>
        <v>0.52638888888888891</v>
      </c>
      <c r="P60" s="74">
        <f t="shared" ref="P60:Q62" si="100">P59+"0:01"</f>
        <v>0.53750000000000009</v>
      </c>
      <c r="Q60" s="74">
        <f t="shared" si="100"/>
        <v>0.56805555555555554</v>
      </c>
      <c r="R60" s="74">
        <f t="shared" ref="R60:R62" si="101">R59+"0:01"</f>
        <v>0.57916666666666616</v>
      </c>
      <c r="S60" s="74">
        <f t="shared" ref="S60:S62" si="102">S59+"0:01"</f>
        <v>0.62083333333333313</v>
      </c>
      <c r="T60" s="74">
        <f t="shared" ref="T60:T62" si="103">T59+"0:01"</f>
        <v>0.66250000000000009</v>
      </c>
      <c r="U60" s="74">
        <f t="shared" ref="U60:U62" si="104">U59+"0:01"</f>
        <v>0.70416666666666616</v>
      </c>
      <c r="V60" s="74">
        <f t="shared" ref="V60:W62" si="105">V59+"0:01"</f>
        <v>0.74583333333333313</v>
      </c>
      <c r="W60" s="74">
        <f t="shared" si="105"/>
        <v>0.77638888888888891</v>
      </c>
      <c r="X60" s="74">
        <f t="shared" ref="X60:Y62" si="106">X59+"0:01"</f>
        <v>0.78750000000000009</v>
      </c>
      <c r="Y60" s="74">
        <f t="shared" si="106"/>
        <v>0.81805555555555554</v>
      </c>
      <c r="Z60" s="74">
        <f t="shared" ref="Z60:Z62" si="107">Z59+"0:01"</f>
        <v>0.82916666666666616</v>
      </c>
      <c r="AA60" s="74">
        <f t="shared" ref="AA60:AA62" si="108">AA59+"0:01"</f>
        <v>0.87083333333333313</v>
      </c>
      <c r="AB60" s="103"/>
    </row>
    <row r="61" spans="1:31" s="18" customFormat="1" ht="15" customHeight="1" x14ac:dyDescent="0.3">
      <c r="A61" s="114">
        <v>1</v>
      </c>
      <c r="B61" s="95" t="s">
        <v>51</v>
      </c>
      <c r="C61" s="60"/>
      <c r="D61" s="74">
        <f t="shared" si="93"/>
        <v>0.24652777777777768</v>
      </c>
      <c r="E61" s="74">
        <f t="shared" si="94"/>
        <v>0.28819444444444459</v>
      </c>
      <c r="F61" s="74">
        <f t="shared" si="95"/>
        <v>0.32986111111111061</v>
      </c>
      <c r="G61" s="74">
        <f t="shared" si="95"/>
        <v>0.36041666666666666</v>
      </c>
      <c r="H61" s="74">
        <f t="shared" si="96"/>
        <v>0.37152777777777757</v>
      </c>
      <c r="I61" s="74">
        <f t="shared" si="96"/>
        <v>0.40208333333333329</v>
      </c>
      <c r="J61" s="74">
        <f t="shared" si="97"/>
        <v>0.41319444444444459</v>
      </c>
      <c r="K61" s="74">
        <f t="shared" si="97"/>
        <v>0.44374999999999998</v>
      </c>
      <c r="L61" s="74">
        <f t="shared" si="98"/>
        <v>0.45486111111111061</v>
      </c>
      <c r="M61" s="74">
        <f t="shared" si="98"/>
        <v>0.48541666666666666</v>
      </c>
      <c r="N61" s="74">
        <f t="shared" si="99"/>
        <v>0.49652777777777757</v>
      </c>
      <c r="O61" s="74">
        <f t="shared" si="99"/>
        <v>0.52708333333333335</v>
      </c>
      <c r="P61" s="74">
        <f t="shared" si="100"/>
        <v>0.53819444444444453</v>
      </c>
      <c r="Q61" s="74">
        <f t="shared" si="100"/>
        <v>0.56874999999999998</v>
      </c>
      <c r="R61" s="74">
        <f t="shared" si="101"/>
        <v>0.57986111111111061</v>
      </c>
      <c r="S61" s="74">
        <f t="shared" si="102"/>
        <v>0.62152777777777757</v>
      </c>
      <c r="T61" s="74">
        <f t="shared" si="103"/>
        <v>0.66319444444444453</v>
      </c>
      <c r="U61" s="74">
        <f t="shared" si="104"/>
        <v>0.70486111111111061</v>
      </c>
      <c r="V61" s="74">
        <f t="shared" si="105"/>
        <v>0.74652777777777757</v>
      </c>
      <c r="W61" s="74">
        <f t="shared" si="105"/>
        <v>0.77708333333333335</v>
      </c>
      <c r="X61" s="74">
        <f t="shared" si="106"/>
        <v>0.78819444444444453</v>
      </c>
      <c r="Y61" s="74">
        <f t="shared" si="106"/>
        <v>0.81874999999999998</v>
      </c>
      <c r="Z61" s="74">
        <f t="shared" si="107"/>
        <v>0.82986111111111061</v>
      </c>
      <c r="AA61" s="74">
        <f t="shared" si="108"/>
        <v>0.87152777777777757</v>
      </c>
      <c r="AB61" s="103"/>
    </row>
    <row r="62" spans="1:31" s="18" customFormat="1" ht="15" customHeight="1" thickBot="1" x14ac:dyDescent="0.35">
      <c r="A62" s="114">
        <v>0</v>
      </c>
      <c r="B62" s="117" t="s">
        <v>52</v>
      </c>
      <c r="C62" s="118" t="s">
        <v>84</v>
      </c>
      <c r="D62" s="107">
        <f t="shared" si="93"/>
        <v>0.24722222222222212</v>
      </c>
      <c r="E62" s="107">
        <f t="shared" si="94"/>
        <v>0.28888888888888903</v>
      </c>
      <c r="F62" s="107">
        <f t="shared" si="95"/>
        <v>0.33055555555555505</v>
      </c>
      <c r="G62" s="107">
        <f t="shared" si="95"/>
        <v>0.3611111111111111</v>
      </c>
      <c r="H62" s="107">
        <f t="shared" si="96"/>
        <v>0.37222222222222201</v>
      </c>
      <c r="I62" s="107">
        <f t="shared" si="96"/>
        <v>0.40277777777777773</v>
      </c>
      <c r="J62" s="107">
        <f t="shared" si="97"/>
        <v>0.41388888888888903</v>
      </c>
      <c r="K62" s="107">
        <f t="shared" si="97"/>
        <v>0.44444444444444442</v>
      </c>
      <c r="L62" s="107">
        <f t="shared" si="98"/>
        <v>0.45555555555555505</v>
      </c>
      <c r="M62" s="107">
        <f t="shared" si="98"/>
        <v>0.4861111111111111</v>
      </c>
      <c r="N62" s="107">
        <f t="shared" si="99"/>
        <v>0.49722222222222201</v>
      </c>
      <c r="O62" s="107">
        <f t="shared" si="99"/>
        <v>0.52777777777777779</v>
      </c>
      <c r="P62" s="107">
        <f t="shared" si="100"/>
        <v>0.53888888888888897</v>
      </c>
      <c r="Q62" s="107">
        <f t="shared" si="100"/>
        <v>0.56944444444444442</v>
      </c>
      <c r="R62" s="107">
        <f t="shared" si="101"/>
        <v>0.58055555555555505</v>
      </c>
      <c r="S62" s="107">
        <f t="shared" si="102"/>
        <v>0.62222222222222201</v>
      </c>
      <c r="T62" s="107">
        <f t="shared" si="103"/>
        <v>0.66388888888888897</v>
      </c>
      <c r="U62" s="107">
        <f t="shared" si="104"/>
        <v>0.70555555555555505</v>
      </c>
      <c r="V62" s="107">
        <f t="shared" si="105"/>
        <v>0.74722222222222201</v>
      </c>
      <c r="W62" s="107">
        <f t="shared" si="105"/>
        <v>0.77777777777777779</v>
      </c>
      <c r="X62" s="107">
        <f t="shared" si="106"/>
        <v>0.78888888888888897</v>
      </c>
      <c r="Y62" s="107">
        <f t="shared" si="106"/>
        <v>0.81944444444444442</v>
      </c>
      <c r="Z62" s="107">
        <f t="shared" si="107"/>
        <v>0.83055555555555505</v>
      </c>
      <c r="AA62" s="107">
        <f t="shared" si="108"/>
        <v>0.87222222222222201</v>
      </c>
      <c r="AB62" s="108"/>
    </row>
    <row r="63" spans="1:31" s="29" customFormat="1" ht="13.8" thickBot="1" x14ac:dyDescent="0.35">
      <c r="B63" s="13" t="s">
        <v>2</v>
      </c>
      <c r="C63" s="35"/>
      <c r="D63" s="71">
        <v>11.4</v>
      </c>
      <c r="E63" s="71">
        <v>11.4</v>
      </c>
      <c r="F63" s="71">
        <v>11.4</v>
      </c>
      <c r="G63" s="71">
        <v>9.1999999999999993</v>
      </c>
      <c r="H63" s="71">
        <v>11.4</v>
      </c>
      <c r="I63" s="71">
        <v>9.1999999999999993</v>
      </c>
      <c r="J63" s="71">
        <v>11.4</v>
      </c>
      <c r="K63" s="71">
        <v>9.1999999999999993</v>
      </c>
      <c r="L63" s="71">
        <v>11.4</v>
      </c>
      <c r="M63" s="71">
        <v>9.1999999999999993</v>
      </c>
      <c r="N63" s="71">
        <v>11.4</v>
      </c>
      <c r="O63" s="71">
        <v>9.1999999999999993</v>
      </c>
      <c r="P63" s="71">
        <v>11.4</v>
      </c>
      <c r="Q63" s="71">
        <v>9.1999999999999993</v>
      </c>
      <c r="R63" s="71">
        <v>11.4</v>
      </c>
      <c r="S63" s="71">
        <v>11.4</v>
      </c>
      <c r="T63" s="71">
        <v>11.4</v>
      </c>
      <c r="U63" s="71">
        <v>11.4</v>
      </c>
      <c r="V63" s="71">
        <v>11.4</v>
      </c>
      <c r="W63" s="71">
        <v>9.1999999999999993</v>
      </c>
      <c r="X63" s="71">
        <v>11.4</v>
      </c>
      <c r="Y63" s="71">
        <v>9.1999999999999993</v>
      </c>
      <c r="Z63" s="71">
        <v>11.4</v>
      </c>
      <c r="AA63" s="71">
        <v>11.4</v>
      </c>
      <c r="AB63" s="71">
        <v>4.3</v>
      </c>
      <c r="AC63" s="37">
        <f>SUM(D63:AB63)</f>
        <v>260.3</v>
      </c>
      <c r="AE63" s="30"/>
    </row>
    <row r="64" spans="1:31" s="27" customFormat="1" ht="14.4" x14ac:dyDescent="0.3">
      <c r="X64" s="61"/>
    </row>
    <row r="65" spans="3:3" s="27" customFormat="1" ht="14.4" x14ac:dyDescent="0.3">
      <c r="C65" s="47"/>
    </row>
  </sheetData>
  <sheetProtection formatCells="0" formatColumns="0" formatRows="0" insertColumns="0" insertRows="0" insertHyperlinks="0" deleteColumns="0" deleteRows="0" sort="0" autoFilter="0" pivotTables="0"/>
  <pageMargins left="0.25" right="0.25" top="0.75" bottom="0.75" header="0.3" footer="0.3"/>
  <pageSetup paperSize="9" scale="81" fitToHeight="0" orientation="landscape" r:id="rId1"/>
  <headerFooter>
    <oddHeader>&amp;RPrinz návrh jízdních řádů 2026</oddHead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8C163F16D2C646A9ACBE0F47C91776" ma:contentTypeVersion="19" ma:contentTypeDescription="Vytvoří nový dokument" ma:contentTypeScope="" ma:versionID="b526198d13a8ad0c622fe2565ceb897d">
  <xsd:schema xmlns:xsd="http://www.w3.org/2001/XMLSchema" xmlns:xs="http://www.w3.org/2001/XMLSchema" xmlns:p="http://schemas.microsoft.com/office/2006/metadata/properties" xmlns:ns3="f33991d8-b335-427b-b4a0-dfa0d62cfc89" xmlns:ns4="2a2196f4-c2e5-4a5a-8c1d-297ccb4375c6" targetNamespace="http://schemas.microsoft.com/office/2006/metadata/properties" ma:root="true" ma:fieldsID="0a332691211259afabba4a526888b525" ns3:_="" ns4:_="">
    <xsd:import namespace="f33991d8-b335-427b-b4a0-dfa0d62cfc89"/>
    <xsd:import namespace="2a2196f4-c2e5-4a5a-8c1d-297ccb4375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991d8-b335-427b-b4a0-dfa0d62cfc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196f4-c2e5-4a5a-8c1d-297ccb4375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3991d8-b335-427b-b4a0-dfa0d62cfc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A2301F-5CB8-43B6-B165-4DBE44FA7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3991d8-b335-427b-b4a0-dfa0d62cfc89"/>
    <ds:schemaRef ds:uri="2a2196f4-c2e5-4a5a-8c1d-297ccb437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CD88CF-A285-41F9-A5BE-F7E4B80F1B56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a2196f4-c2e5-4a5a-8c1d-297ccb4375c6"/>
    <ds:schemaRef ds:uri="http://purl.org/dc/elements/1.1/"/>
    <ds:schemaRef ds:uri="http://purl.org/dc/terms/"/>
    <ds:schemaRef ds:uri="f33991d8-b335-427b-b4a0-dfa0d62cfc8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0E0691D-4A7C-467A-8F34-2046B001C6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komentzář a km</vt:lpstr>
      <vt:lpstr>561 </vt:lpstr>
      <vt:lpstr>562 </vt:lpstr>
      <vt:lpstr>563</vt:lpstr>
      <vt:lpstr>565 </vt:lpstr>
      <vt:lpstr>566 </vt:lpstr>
      <vt:lpstr>567 </vt:lpstr>
      <vt:lpstr>568</vt:lpstr>
      <vt:lpstr>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Vladimír Návrat</dc:creator>
  <cp:lastModifiedBy>Prinz František (202777)</cp:lastModifiedBy>
  <cp:lastPrinted>2026-02-23T13:18:50Z</cp:lastPrinted>
  <dcterms:created xsi:type="dcterms:W3CDTF">2025-03-10T17:41:23Z</dcterms:created>
  <dcterms:modified xsi:type="dcterms:W3CDTF">2026-03-09T13:49:31Z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0x010100DF8C163F16D2C646A9ACBE0F47C91776</vt:lpwstr>
  </property>
</Properties>
</file>